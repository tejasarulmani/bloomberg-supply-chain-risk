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\Desktop\"/>
    </mc:Choice>
  </mc:AlternateContent>
  <xr:revisionPtr revIDLastSave="0" documentId="13_ncr:1_{C121ABD0-9A39-4757-9E1D-947A0AA858E5}" xr6:coauthVersionLast="47" xr6:coauthVersionMax="47" xr10:uidLastSave="{00000000-0000-0000-0000-000000000000}"/>
  <bookViews>
    <workbookView xWindow="18900" yWindow="765" windowWidth="19620" windowHeight="2038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I22" i="2"/>
  <c r="G20" i="2"/>
  <c r="E18" i="2"/>
  <c r="C16" i="2"/>
  <c r="J13" i="2"/>
  <c r="H11" i="2"/>
  <c r="F9" i="2"/>
  <c r="D7" i="2"/>
  <c r="J24" i="2"/>
  <c r="H22" i="2"/>
  <c r="F20" i="2"/>
  <c r="D18" i="2"/>
  <c r="B16" i="2"/>
  <c r="I13" i="2"/>
  <c r="G11" i="2"/>
  <c r="E9" i="2"/>
  <c r="C7" i="2"/>
  <c r="G22" i="2"/>
  <c r="E20" i="2"/>
  <c r="C18" i="2"/>
  <c r="J15" i="2"/>
  <c r="H13" i="2"/>
  <c r="F11" i="2"/>
  <c r="D9" i="2"/>
  <c r="B7" i="2"/>
  <c r="H24" i="2"/>
  <c r="F22" i="2"/>
  <c r="D20" i="2"/>
  <c r="B18" i="2"/>
  <c r="G13" i="2"/>
  <c r="E11" i="2"/>
  <c r="J6" i="2"/>
  <c r="E22" i="2"/>
  <c r="F13" i="2"/>
  <c r="B9" i="2"/>
  <c r="F24" i="2"/>
  <c r="B20" i="2"/>
  <c r="G15" i="2"/>
  <c r="C11" i="2"/>
  <c r="E24" i="2"/>
  <c r="H17" i="2"/>
  <c r="D13" i="2"/>
  <c r="I8" i="2"/>
  <c r="D24" i="2"/>
  <c r="I19" i="2"/>
  <c r="J10" i="2"/>
  <c r="F6" i="2"/>
  <c r="J21" i="2"/>
  <c r="F17" i="2"/>
  <c r="B13" i="2"/>
  <c r="G8" i="2"/>
  <c r="H12" i="2"/>
  <c r="H23" i="2"/>
  <c r="B17" i="2"/>
  <c r="E10" i="2"/>
  <c r="G23" i="2"/>
  <c r="H14" i="2"/>
  <c r="B8" i="2"/>
  <c r="D21" i="2"/>
  <c r="I16" i="2"/>
  <c r="G14" i="2"/>
  <c r="C10" i="2"/>
  <c r="E23" i="2"/>
  <c r="D12" i="2"/>
  <c r="D23" i="2"/>
  <c r="I18" i="2"/>
  <c r="H18" i="2"/>
  <c r="D14" i="2"/>
  <c r="I9" i="2"/>
  <c r="I20" i="2"/>
  <c r="F7" i="2"/>
  <c r="F18" i="2"/>
  <c r="G9" i="2"/>
  <c r="I24" i="2"/>
  <c r="I15" i="2"/>
  <c r="C9" i="2"/>
  <c r="G24" i="2"/>
  <c r="J17" i="2"/>
  <c r="H15" i="2"/>
  <c r="D11" i="2"/>
  <c r="I6" i="2"/>
  <c r="D22" i="2"/>
  <c r="I17" i="2"/>
  <c r="E13" i="2"/>
  <c r="J8" i="2"/>
  <c r="H6" i="2"/>
  <c r="C22" i="2"/>
  <c r="J19" i="2"/>
  <c r="F15" i="2"/>
  <c r="B11" i="2"/>
  <c r="G6" i="2"/>
  <c r="B22" i="2"/>
  <c r="G17" i="2"/>
  <c r="E15" i="2"/>
  <c r="C13" i="2"/>
  <c r="H8" i="2"/>
  <c r="C24" i="2"/>
  <c r="H19" i="2"/>
  <c r="D15" i="2"/>
  <c r="I10" i="2"/>
  <c r="E6" i="2"/>
  <c r="D8" i="2"/>
  <c r="F21" i="2"/>
  <c r="I14" i="2"/>
  <c r="C8" i="2"/>
  <c r="C19" i="2"/>
  <c r="J16" i="2"/>
  <c r="F12" i="2"/>
  <c r="F23" i="2"/>
  <c r="B19" i="2"/>
  <c r="E12" i="2"/>
  <c r="J7" i="2"/>
  <c r="J18" i="2"/>
  <c r="F14" i="2"/>
  <c r="I7" i="2"/>
  <c r="B21" i="2"/>
  <c r="E14" i="2"/>
  <c r="C12" i="2"/>
  <c r="H7" i="2"/>
  <c r="J20" i="2"/>
  <c r="G7" i="2"/>
  <c r="G18" i="2"/>
  <c r="C14" i="2"/>
  <c r="H9" i="2"/>
  <c r="H20" i="2"/>
  <c r="B14" i="2"/>
  <c r="E7" i="2"/>
  <c r="C20" i="2"/>
  <c r="B24" i="2"/>
  <c r="I21" i="2"/>
  <c r="G19" i="2"/>
  <c r="E17" i="2"/>
  <c r="C15" i="2"/>
  <c r="J12" i="2"/>
  <c r="H10" i="2"/>
  <c r="F8" i="2"/>
  <c r="D6" i="2"/>
  <c r="J23" i="2"/>
  <c r="H21" i="2"/>
  <c r="F19" i="2"/>
  <c r="D17" i="2"/>
  <c r="B15" i="2"/>
  <c r="I12" i="2"/>
  <c r="G10" i="2"/>
  <c r="E8" i="2"/>
  <c r="C6" i="2"/>
  <c r="I23" i="2"/>
  <c r="G21" i="2"/>
  <c r="E19" i="2"/>
  <c r="C17" i="2"/>
  <c r="J14" i="2"/>
  <c r="F10" i="2"/>
  <c r="B6" i="2"/>
  <c r="D19" i="2"/>
  <c r="G12" i="2"/>
  <c r="E21" i="2"/>
  <c r="D10" i="2"/>
  <c r="C21" i="2"/>
  <c r="H16" i="2"/>
  <c r="B10" i="2"/>
  <c r="G16" i="2"/>
  <c r="J9" i="2"/>
  <c r="C23" i="2"/>
  <c r="F16" i="2"/>
  <c r="B12" i="2"/>
  <c r="B23" i="2"/>
  <c r="E16" i="2"/>
  <c r="J11" i="2"/>
  <c r="J22" i="2"/>
  <c r="D16" i="2"/>
  <c r="I11" i="2"/>
  <c r="G5" i="2"/>
  <c r="D5" i="2"/>
  <c r="C5" i="2"/>
  <c r="I5" i="2"/>
  <c r="F5" i="2"/>
  <c r="B5" i="2"/>
  <c r="E5" i="2"/>
  <c r="H5" i="2"/>
  <c r="J5" i="2"/>
</calcChain>
</file>

<file path=xl/sharedStrings.xml><?xml version="1.0" encoding="utf-8"?>
<sst xmlns="http://schemas.openxmlformats.org/spreadsheetml/2006/main" count="33" uniqueCount="33">
  <si>
    <t>Apple Inc (AAPL US Equity) - Supply Chain Analysis (Suppliers)</t>
  </si>
  <si>
    <t>Ticker</t>
  </si>
  <si>
    <t>Company Name</t>
  </si>
  <si>
    <t>Cost Category</t>
  </si>
  <si>
    <t>%Cost Category</t>
  </si>
  <si>
    <t>%Supplier Rev</t>
  </si>
  <si>
    <t>Relationship Value (Q) (Mln) (USD)</t>
  </si>
  <si>
    <t>Relationship Year</t>
  </si>
  <si>
    <t>Relationship Period</t>
  </si>
  <si>
    <t>Source</t>
  </si>
  <si>
    <t>As Of Date</t>
  </si>
  <si>
    <t>Source: Bloomberg</t>
  </si>
  <si>
    <t>Suppliers ranked by % of revenue generated from center company.</t>
  </si>
  <si>
    <t>Only quantified relationships are included.</t>
  </si>
  <si>
    <t>011070 KS Equity</t>
  </si>
  <si>
    <t>4958 TT Equity</t>
  </si>
  <si>
    <t>6456 TT Equity</t>
  </si>
  <si>
    <t>6269 TT Equity</t>
  </si>
  <si>
    <t>SWKS US Equity</t>
  </si>
  <si>
    <t>DUOL US Equity</t>
  </si>
  <si>
    <t>002475 CH Equity</t>
  </si>
  <si>
    <t>4938 TT Equity</t>
  </si>
  <si>
    <t>360 AU Equity</t>
  </si>
  <si>
    <t>002384 CH Equity</t>
  </si>
  <si>
    <t>034220 KS Equity</t>
  </si>
  <si>
    <t>3739 JP Equity</t>
  </si>
  <si>
    <t>4393 JP Equity</t>
  </si>
  <si>
    <t>QRVO US Equity</t>
  </si>
  <si>
    <t>300433 CH Equity</t>
  </si>
  <si>
    <t>000049 CH Equity</t>
  </si>
  <si>
    <t>3765 JP Equity</t>
  </si>
  <si>
    <t>2313 TT Equity</t>
  </si>
  <si>
    <t>3903 JP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</si>
</sst>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.00##_);[Red]\(#,##0.00##\)"/>
    <numFmt numFmtId="169" formatCode="##0.00_)\%;[Red]\(##0.00\)\%"/>
  </numFmts>
  <fonts count="2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20" borderId="0" applyNumberFormat="0" applyBorder="0" applyAlignment="0" applyProtection="0"/>
    <xf numFmtId="0" fontId="22" fillId="24" borderId="0" applyNumberFormat="0" applyBorder="0" applyAlignment="0" applyProtection="0"/>
    <xf numFmtId="0" fontId="22" fillId="28" borderId="0" applyNumberFormat="0" applyBorder="0" applyAlignment="0" applyProtection="0"/>
    <xf numFmtId="0" fontId="22" fillId="32" borderId="0" applyNumberFormat="0" applyBorder="0" applyAlignment="0" applyProtection="0"/>
    <xf numFmtId="0" fontId="22" fillId="9" borderId="0" applyNumberFormat="0" applyBorder="0" applyAlignment="0" applyProtection="0"/>
    <xf numFmtId="0" fontId="22" fillId="13" borderId="0" applyNumberFormat="0" applyBorder="0" applyAlignment="0" applyProtection="0"/>
    <xf numFmtId="0" fontId="22" fillId="17" borderId="0" applyNumberFormat="0" applyBorder="0" applyAlignment="0" applyProtection="0"/>
    <xf numFmtId="0" fontId="22" fillId="21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12" fillId="3" borderId="0" applyNumberFormat="0" applyBorder="0" applyAlignment="0" applyProtection="0"/>
    <xf numFmtId="168" fontId="1" fillId="0" borderId="0"/>
    <xf numFmtId="0" fontId="2" fillId="33" borderId="0"/>
    <xf numFmtId="169" fontId="1" fillId="0" borderId="0"/>
    <xf numFmtId="0" fontId="16" fillId="6" borderId="6" applyNumberFormat="0" applyAlignment="0" applyProtection="0"/>
    <xf numFmtId="0" fontId="18" fillId="7" borderId="9" applyNumberFormat="0" applyAlignment="0" applyProtection="0"/>
    <xf numFmtId="0" fontId="20" fillId="0" borderId="0" applyNumberFormat="0" applyFill="0" applyBorder="0" applyAlignment="0" applyProtection="0"/>
    <xf numFmtId="0" fontId="4" fillId="33" borderId="1">
      <alignment horizontal="right"/>
    </xf>
    <xf numFmtId="0" fontId="4" fillId="33" borderId="1">
      <alignment horizontal="left"/>
    </xf>
    <xf numFmtId="0" fontId="5" fillId="34" borderId="2" applyNumberFormat="0" applyAlignment="0" applyProtection="0"/>
    <xf numFmtId="0" fontId="11" fillId="2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5" borderId="6" applyNumberFormat="0" applyAlignment="0" applyProtection="0"/>
    <xf numFmtId="0" fontId="17" fillId="0" borderId="8" applyNumberFormat="0" applyFill="0" applyAlignment="0" applyProtection="0"/>
    <xf numFmtId="0" fontId="13" fillId="4" borderId="0" applyNumberFormat="0" applyBorder="0" applyAlignment="0" applyProtection="0"/>
    <xf numFmtId="0" fontId="6" fillId="8" borderId="10" applyNumberFormat="0" applyFont="0" applyAlignment="0" applyProtection="0"/>
    <xf numFmtId="0" fontId="15" fillId="6" borderId="7" applyNumberFormat="0" applyAlignment="0" applyProtection="0"/>
    <xf numFmtId="0" fontId="7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19" fillId="0" borderId="0" applyNumberFormat="0" applyFill="0" applyBorder="0" applyAlignment="0" applyProtection="0"/>
    <xf numFmtId="0" fontId="3" fillId="33" borderId="12" applyNumberFormat="0" applyProtection="0">
      <alignment horizontal="left" vertical="center" readingOrder="1"/>
    </xf>
  </cellStyleXfs>
  <cellXfs count="9">
    <xf numFmtId="0" fontId="0" fillId="0" borderId="0" xfId="0"/>
    <xf numFmtId="0" fontId="5" fillId="34" borderId="2" xfId="34"/>
    <xf numFmtId="0" fontId="0" fillId="0" borderId="0" xfId="0"/>
    <xf numFmtId="0" fontId="3" fillId="33" borderId="12" xfId="48">
      <alignment horizontal="left" vertical="center" readingOrder="1"/>
    </xf>
    <xf numFmtId="0" fontId="2" fillId="33" borderId="0" xfId="27"/>
    <xf numFmtId="168" fontId="1" fillId="0" borderId="0" xfId="26"/>
    <xf numFmtId="169" fontId="1" fillId="0" borderId="0" xfId="28"/>
    <xf numFmtId="0" fontId="4" fillId="33" borderId="1" xfId="33">
      <alignment horizontal="left"/>
    </xf>
    <xf numFmtId="0" fontId="4" fillId="33" borderId="1" xfId="32">
      <alignment horizontal="right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blp_title_header_row_left" xfId="48" xr:uid="{00000000-0005-0000-0000-00001C000000}"/>
    <cellStyle name="Calculation" xfId="29" builtinId="22" customBuiltin="1"/>
    <cellStyle name="Check Cell" xfId="30" builtinId="23" customBuiltin="1"/>
    <cellStyle name="Explanatory Text" xfId="31" builtinId="53" customBuiltin="1"/>
    <cellStyle name="fa_column_header_top" xfId="32" xr:uid="{00000000-0005-0000-0000-000020000000}"/>
    <cellStyle name="fa_column_header_top_left" xfId="33" xr:uid="{00000000-0005-0000-0000-000021000000}"/>
    <cellStyle name="fa_footer_italic" xfId="34" xr:uid="{00000000-0005-0000-0000-000022000000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te" xfId="43" builtinId="10" customBuiltin="1"/>
    <cellStyle name="Output" xfId="44" builtinId="21" customBuiltin="1"/>
    <cellStyle name="Title" xfId="45" builtinId="15" customBuiltin="1"/>
    <cellStyle name="Total" xfId="46" builtinId="25" customBuiltin="1"/>
    <cellStyle name="Warning Text" xfId="4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0</v>
        <stp/>
        <stp>BDP|16765974433266882068</stp>
        <tr r="B20" s="2"/>
      </tp>
      <tp t="s">
        <v>2026</v>
        <stp/>
        <stp>BDP|12096950344315837052</stp>
        <tr r="G9" s="2"/>
      </tp>
      <tp t="s">
        <v>2025</v>
        <stp/>
        <stp>BDP|10700294498028136961</stp>
        <tr r="G8" s="2"/>
      </tp>
      <tp t="s">
        <v>2025</v>
        <stp/>
        <stp>BDP|15428663969316772989</stp>
        <tr r="G14" s="2"/>
      </tp>
      <tp t="s">
        <v>22-06-2026</v>
        <stp/>
        <stp>BDP|10970723256161237873</stp>
        <tr r="J17" s="2"/>
      </tp>
      <tp t="s">
        <v>20-01-2026</v>
        <stp/>
        <stp>BDP|13997164097455340578</stp>
        <tr r="J23" s="2"/>
      </tp>
      <tp t="s">
        <v>02-01-2026</v>
        <stp/>
        <stp>BDP|17676804406482841690</stp>
        <tr r="J20" s="2"/>
      </tp>
      <tp>
        <v>0</v>
        <stp/>
        <stp>BDP|12068670192076674059</stp>
        <tr r="B12" s="2"/>
      </tp>
      <tp t="s">
        <v>Estimate (002475 CH)</v>
        <stp/>
        <stp>BDP|17793606703048481194</stp>
        <tr r="I12" s="2"/>
      </tp>
      <tp>
        <v>0.45703700184822083</v>
        <stp/>
        <stp>BDP|11627554094877005276</stp>
        <tr r="D23" s="2"/>
      </tp>
      <tp t="s">
        <v>A</v>
        <stp/>
        <stp>BDP|13626915070886265366</stp>
        <tr r="H24" s="2"/>
      </tp>
      <tp t="s">
        <v>COGS</v>
        <stp/>
        <stp>BDP|17003807634847134316</stp>
        <tr r="C8" s="2"/>
      </tp>
      <tp t="s">
        <v>2025A CF (360 AU)</v>
        <stp/>
        <stp>BDP|14515408198024268400</stp>
        <tr r="I14" s="2"/>
      </tp>
      <tp t="s">
        <v>COGS</v>
        <stp/>
        <stp>BDP|14742881540367385622</stp>
        <tr r="C20" s="2"/>
      </tp>
      <tp>
        <v>0</v>
        <stp/>
        <stp>BDP|13757181604588335386</stp>
        <tr r="B10" s="2"/>
      </tp>
      <tp>
        <v>3.4837450981140137</v>
        <stp/>
        <stp>BDP|14638226996892847320</stp>
        <tr r="D16" s="2"/>
      </tp>
      <tp>
        <v>3.519000019878149E-3</v>
        <stp/>
        <stp>BDP|12499019859860627971</stp>
        <tr r="D17" s="2"/>
      </tp>
      <tp t="s">
        <v>COGS</v>
        <stp/>
        <stp>BDP|16934750050628063201</stp>
        <tr r="C10" s="2"/>
      </tp>
      <tp>
        <v>0.35772800445556641</v>
        <stp/>
        <stp>BDP|11302935225166930230</stp>
        <tr r="D11" s="2"/>
      </tp>
      <tp>
        <v>0.75713300704956055</v>
        <stp/>
        <stp>BDP|14511504701488081749</stp>
        <tr r="D5" s="2"/>
      </tp>
      <tp>
        <v>731.06055512150999</v>
        <stp/>
        <stp>BDP|12907568602048772006</stp>
        <tr r="F15" s="2"/>
      </tp>
      <tp t="s">
        <v>2026</v>
        <stp/>
        <stp>BDP|14230016083960869372</stp>
        <tr r="G12" s="2"/>
      </tp>
      <tp t="s">
        <v>21-09-2026</v>
        <stp/>
        <stp>BDP|13142555120973990824</stp>
        <tr r="J7" s="2"/>
      </tp>
      <tp>
        <v>0</v>
        <stp/>
        <stp>BDP|12500523892490839180</stp>
        <tr r="B5" s="2"/>
      </tp>
      <tp t="s">
        <v>2026A CF (3739 JP)</v>
        <stp/>
        <stp>BDP|10527444440565832940</stp>
        <tr r="I17" s="2"/>
      </tp>
      <tp>
        <v>50</v>
        <stp/>
        <stp>BDP|16949223786121037136</stp>
        <tr r="E19" s="2"/>
      </tp>
      <tp t="s">
        <v>Q3</v>
        <stp/>
        <stp>BDP|11105518282876651653</stp>
        <tr r="H23" s="2"/>
      </tp>
      <tp>
        <v>0</v>
        <stp/>
        <stp>BDP|17128666601354175978</stp>
        <tr r="B19" s="2"/>
      </tp>
      <tp t="s">
        <v>2026</v>
        <stp/>
        <stp>BDP|17874563221508814422</stp>
        <tr r="G17" s="2"/>
      </tp>
      <tp t="s">
        <v>20-11-2025</v>
        <stp/>
        <stp>BDP|11684068928368716781</stp>
        <tr r="J15" s="2"/>
      </tp>
      <tp t="s">
        <v>Duolingo Inc</v>
        <stp/>
        <stp>BDP|13202739477848834792</stp>
        <tr r="B11" s="2"/>
      </tp>
      <tp t="s">
        <v>2025</v>
        <stp/>
        <stp>BDP|10272288157143352960</stp>
        <tr r="G22" s="2"/>
      </tp>
      <tp t="s">
        <v>Estimate (6269 TT)</v>
        <stp/>
        <stp>BDP|16659278084519963840</stp>
        <tr r="I9" s="2"/>
      </tp>
      <tp t="s">
        <v>Q3</v>
        <stp/>
        <stp>BDP|11318946001825920043</stp>
        <tr r="H20" s="2"/>
      </tp>
      <tp t="s">
        <v>2026A CF (QRVO US)</v>
        <stp/>
        <stp>BDP|15163637084703450590</stp>
        <tr r="I19" s="2"/>
      </tp>
      <tp>
        <v>0.10188200324773788</v>
        <stp/>
        <stp>BDP|18339714531256673780</stp>
        <tr r="D22" s="2"/>
      </tp>
      <tp t="s">
        <v>COGS</v>
        <stp/>
        <stp>BDP|16643786624267791928</stp>
        <tr r="C12" s="2"/>
      </tp>
      <tp>
        <v>0</v>
        <stp/>
        <stp>BDP|12145007672959226113</stp>
        <tr r="B21" s="2"/>
      </tp>
      <tp t="s">
        <v>COGS</v>
        <stp/>
        <stp>BDP|17525450397532422509</stp>
        <tr r="C5" s="2"/>
      </tp>
      <tp t="s">
        <v>2025</v>
        <stp/>
        <stp>BDP|10860088090220475464</stp>
        <tr r="G15" s="2"/>
      </tp>
      <tp t="s">
        <v>Q2</v>
        <stp/>
        <stp>BDP|14788942272005519229</stp>
        <tr r="H21" s="2"/>
      </tp>
      <tp>
        <v>7.7488360404968262</v>
        <stp/>
        <stp>BDP|15882943706786329822</stp>
        <tr r="D13" s="2"/>
      </tp>
      <tp t="s">
        <v>A</v>
        <stp/>
        <stp>BDP|16659952462799920227</stp>
        <tr r="H19" s="2"/>
      </tp>
      <tp t="s">
        <v>2026A CF (3903 JP)</v>
        <stp/>
        <stp>BDP|10491775875805028798</stp>
        <tr r="I24" s="2"/>
      </tp>
      <tp>
        <v>2.0723671088892939</v>
        <stp/>
        <stp>BDP|13577379208533630192</stp>
        <tr r="F17" s="2"/>
      </tp>
      <tp t="s">
        <v>#N/A N/A</v>
        <stp/>
        <stp>BDS|10299698303895460181</stp>
        <tr r="A5" s="2"/>
      </tp>
      <tp t="s">
        <v>Estimate (034220 KS)</v>
        <stp/>
        <stp>BDP|11715636971341422378</stp>
        <tr r="I16" s="2"/>
      </tp>
      <tp t="s">
        <v>29-07-2026</v>
        <stp/>
        <stp>BDP|13572937613388558083</stp>
        <tr r="J24" s="2"/>
      </tp>
      <tp t="s">
        <v>COGS</v>
        <stp/>
        <stp>BDP|15893806844602434829</stp>
        <tr r="C24" s="2"/>
      </tp>
      <tp t="s">
        <v>14-02-2026</v>
        <stp/>
        <stp>BDP|10841471465515194467</stp>
        <tr r="J8" s="2"/>
      </tp>
      <tp>
        <v>67.476753234863281</v>
        <stp/>
        <stp>BDP|16600234425665801049</stp>
        <tr r="E9" s="2"/>
      </tp>
      <tp>
        <v>0</v>
        <stp/>
        <stp>BDP|13131384439296073612</stp>
        <tr r="B18" s="2"/>
      </tp>
      <tp>
        <v>4260.0919276917048</v>
        <stp/>
        <stp>BDP|16604106057025071464</stp>
        <tr r="F6" s="2"/>
      </tp>
      <tp>
        <v>0</v>
        <stp/>
        <stp>BDP|18300374166439500717</stp>
        <tr r="B22" s="2"/>
      </tp>
      <tp>
        <v>1302.1023959638374</v>
        <stp/>
        <stp>BDP|17213106178971427054</stp>
        <tr r="F20" s="2"/>
      </tp>
      <tp t="s">
        <v>2027Q1 CF (CRUS US)</v>
        <stp/>
        <stp>BDP|12438472826601116593</stp>
        <tr r="I5" s="2"/>
      </tp>
      <tp t="s">
        <v>2026</v>
        <stp/>
        <stp>BDP|18267510961049631286</stp>
        <tr r="G11" s="2"/>
      </tp>
      <tp t="s">
        <v>2027</v>
        <stp/>
        <stp>BDP|14948440636126462535</stp>
        <tr r="G5" s="2"/>
      </tp>
      <tp t="s">
        <v>Q1</v>
        <stp/>
        <stp>BDP|11198779972043343282</stp>
        <tr r="H12" s="2"/>
      </tp>
      <tp>
        <v>51.727825164794922</v>
        <stp/>
        <stp>BDP|15964987495853230647</stp>
        <tr r="E15" s="2"/>
      </tp>
      <tp>
        <v>459.81462399999998</v>
        <stp/>
        <stp>BDP|17140328444900445012</stp>
        <tr r="F19" s="2"/>
      </tp>
      <tp>
        <v>1.3504680395126343</v>
        <stp/>
        <stp>BDP|12438018827928440803</stp>
        <tr r="D15" s="2"/>
      </tp>
      <tp>
        <v>50.901653289794922</v>
        <stp/>
        <stp>BDP|12763719466481989346</stp>
        <tr r="E16" s="2"/>
      </tp>
      <tp t="s">
        <v>Q4</v>
        <stp/>
        <stp>BDP|16409192538992121705</stp>
        <tr r="H6" s="2"/>
      </tp>
      <tp>
        <v>0.11092600226402283</v>
        <stp/>
        <stp>BDP|15069603240193458280</stp>
        <tr r="D14" s="2"/>
      </tp>
      <tp t="s">
        <v>08-06-2026</v>
        <stp/>
        <stp>BDP|10271719330416838445</stp>
        <tr r="J12" s="2"/>
      </tp>
      <tp t="s">
        <v>17-04-2026</v>
        <stp/>
        <stp>BDP|14650604631851163689</stp>
        <tr r="J6" s="2"/>
      </tp>
      <tp t="s">
        <v>CommSeed Corp</v>
        <stp/>
        <stp>BDP|10277041583099779726</stp>
        <tr r="B13" s="2"/>
      </tp>
      <tp>
        <v>335.69787957593911</v>
        <stp/>
        <stp>BDP|14633576862118175913</stp>
        <tr r="F21" s="2"/>
      </tp>
      <tp t="s">
        <v>Q1</v>
        <stp/>
        <stp>BDP|12152624210454183703</stp>
        <tr r="H13" s="2"/>
      </tp>
      <tp>
        <v>90</v>
        <stp/>
        <stp>BDP|15451474471486429616</stp>
        <tr r="E5" s="2"/>
      </tp>
      <tp t="s">
        <v>COGS</v>
        <stp/>
        <stp>BDP|16018582942147620716</stp>
        <tr r="C16" s="2"/>
      </tp>
      <tp t="s">
        <v>COGS</v>
        <stp/>
        <stp>BDP|14841057308732853110</stp>
        <tr r="C18" s="2"/>
      </tp>
      <tp>
        <v>195.48737600000001</v>
        <stp/>
        <stp>BDP|17443490851652483397</stp>
        <tr r="F11" s="2"/>
      </tp>
      <tp t="s">
        <v>A</v>
        <stp/>
        <stp>BDP|13019804396213083660</stp>
        <tr r="H10" s="2"/>
      </tp>
      <tp>
        <v>1.239238977432251</v>
        <stp/>
        <stp>BDP|16518283714975872719</stp>
        <tr r="D10" s="2"/>
      </tp>
      <tp>
        <v>63.632528000000001</v>
        <stp/>
        <stp>BDP|12652739270076135361</stp>
        <tr r="F14" s="2"/>
      </tp>
      <tp t="s">
        <v>2025</v>
        <stp/>
        <stp>BDP|12180518518145850781</stp>
        <tr r="G6" s="2"/>
      </tp>
      <tp t="s">
        <v>05-08-2026</v>
        <stp/>
        <stp>BDP|10458826285970019427</stp>
        <tr r="J5" s="2"/>
      </tp>
      <tp t="s">
        <v>COGS</v>
        <stp/>
        <stp>BDP|12064369437574045213</stp>
        <tr r="C14" s="2"/>
      </tp>
      <tp t="s">
        <v>COGS</v>
        <stp/>
        <stp>BDP|11815753224522135283</stp>
        <tr r="C22" s="2"/>
      </tp>
      <tp>
        <v>5.1393930319596848</v>
        <stp/>
        <stp>BDP|12776779678664366292</stp>
        <tr r="F24" s="2"/>
      </tp>
      <tp>
        <v>12.164957046508789</v>
        <stp/>
        <stp>BDP|14478773918344422360</stp>
        <tr r="D12" s="2"/>
      </tp>
      <tp>
        <v>0.20693099498748779</v>
        <stp/>
        <stp>BDP|14789025524377158485</stp>
        <tr r="D9" s="2"/>
      </tp>
      <tp t="s">
        <v>COGS</v>
        <stp/>
        <stp>BDP|17947053723210543018</stp>
        <tr r="C11" s="2"/>
      </tp>
      <tp t="s">
        <v>Estimate (4958 TT)</v>
        <stp/>
        <stp>BDP|13128394832965416334</stp>
        <tr r="I7" s="2"/>
      </tp>
      <tp>
        <v>2.1049959659576416</v>
        <stp/>
        <stp>BDP|13059565797848987254</stp>
        <tr r="D7" s="2"/>
      </tp>
      <tp>
        <v>10.370889217068834</v>
        <stp/>
        <stp>BDP|15449466413845500062</stp>
        <tr r="F18" s="2"/>
      </tp>
      <tp t="s">
        <v>COGS</v>
        <stp/>
        <stp>BDP|16131550072506472707</stp>
        <tr r="C7" s="2"/>
      </tp>
      <tp>
        <v>0</v>
        <stp/>
        <stp>BDP|16202415646574993797</stp>
        <tr r="B7" s="2"/>
      </tp>
      <tp t="s">
        <v>2025</v>
        <stp/>
        <stp>BDP|18090907503892019675</stp>
        <tr r="G23" s="2"/>
      </tp>
    </main>
    <main first="bofaddin.rtdserver">
      <tp t="s">
        <v>Q3</v>
        <stp/>
        <stp>BDP|3003388920447590979</stp>
        <tr r="H8" s="2"/>
      </tp>
      <tp t="s">
        <v>2026</v>
        <stp/>
        <stp>BDP|2775091679138944142</stp>
        <tr r="G19" s="2"/>
      </tp>
      <tp t="s">
        <v>Q3</v>
        <stp/>
        <stp>BDP|8418207130363660690</stp>
        <tr r="H15" s="2"/>
      </tp>
      <tp t="s">
        <v>2025</v>
        <stp/>
        <stp>BDP|6712144239690276802</stp>
        <tr r="G7" s="2"/>
      </tp>
      <tp>
        <v>1171.9143119953751</v>
        <stp/>
        <stp>BDP|8953226827770796451</stp>
        <tr r="F7" s="2"/>
      </tp>
      <tp t="s">
        <v>Q2</v>
        <stp/>
        <stp>BDP|8753620644946605099</stp>
        <tr r="H11" s="2"/>
      </tp>
      <tp>
        <v>56.589694976806641</v>
        <stp/>
        <stp>BDP|3945623491950002050</stp>
        <tr r="E13" s="2"/>
      </tp>
      <tp t="s">
        <v>Estimate (6456 TT)</v>
        <stp/>
        <stp>BDP|1759152496776341342</stp>
        <tr r="I8" s="2"/>
      </tp>
      <tp t="s">
        <v>A</v>
        <stp/>
        <stp>BDP|3250559251829163618</stp>
        <tr r="H22" s="2"/>
      </tp>
      <tp t="s">
        <v>2026</v>
        <stp/>
        <stp>BDP|3937030997273912442</stp>
        <tr r="G21" s="2"/>
      </tp>
      <tp>
        <v>67</v>
        <stp/>
        <stp>BDP|8434301949839237850</stp>
        <tr r="E10" s="2"/>
      </tp>
      <tp t="s">
        <v>10-09-2026</v>
        <stp/>
        <stp>BDP|3904307740839651358</stp>
        <tr r="J21" s="2"/>
      </tp>
      <tp>
        <v>1902.943140074166</v>
        <stp/>
        <stp>BDP|8192597245982272514</stp>
        <tr r="F16" s="2"/>
      </tp>
      <tp t="s">
        <v>COGS</v>
        <stp/>
        <stp>BDP|5400721799223349637</stp>
        <tr r="C21" s="2"/>
      </tp>
      <tp>
        <v>75.097297668457031</v>
        <stp/>
        <stp>BDP|1358172635508674580</stp>
        <tr r="E7" s="2"/>
      </tp>
      <tp>
        <v>0.52087801694869995</v>
        <stp/>
        <stp>BDP|6419715399201362731</stp>
        <tr r="D8" s="2"/>
      </tp>
      <tp>
        <v>0.78143000602722168</v>
        <stp/>
        <stp>BDP|8852503400707133456</stp>
        <tr r="D19" s="2"/>
      </tp>
      <tp t="s">
        <v>Q1</v>
        <stp/>
        <stp>BDP|7401412104518801540</stp>
        <tr r="H5" s="2"/>
      </tp>
      <tp t="s">
        <v>Suzhou Dongshan Precision Manufacturing Co Ltd</v>
        <stp/>
        <stp>BDP|4244211665479891652</stp>
        <tr r="B23" s="2"/>
      </tp>
      <tp t="s">
        <v>03-03-2026</v>
        <stp/>
        <stp>BDP|3142785377244671817</stp>
        <tr r="J14" s="2"/>
      </tp>
      <tp t="s">
        <v>2025A CF (3765 JP)</v>
        <stp/>
        <stp>BDP|7757093743418456315</stp>
        <tr r="I22" s="2"/>
      </tp>
      <tp>
        <v>56.673625946044922</v>
        <stp/>
        <stp>BDP|3728924256460933756</stp>
        <tr r="E12" s="2"/>
      </tp>
      <tp t="s">
        <v>2026Q2 CF (DUOL US)</v>
        <stp/>
        <stp>BDP|3168332013769200062</stp>
        <tr r="I11" s="2"/>
      </tp>
      <tp t="s">
        <v>FLEXium Interconnect Inc</v>
        <stp/>
        <stp>BDP|1447144890168486861</stp>
        <tr r="B15" s="2"/>
      </tp>
      <tp t="s">
        <v>Estimate (2313 TT)</v>
        <stp/>
        <stp>BDP|2076348336310952818</stp>
        <tr r="I23" s="2"/>
      </tp>
      <tp>
        <v>6864.8814360096385</v>
        <stp/>
        <stp>BDP|9413020428101492026</stp>
        <tr r="F12" s="2"/>
      </tp>
      <tp t="s">
        <v>07-11-2025</v>
        <stp/>
        <stp>BDP|5352568148126964883</stp>
        <tr r="J10" s="2"/>
      </tp>
      <tp t="s">
        <v>2025</v>
        <stp/>
        <stp>BDP|7010891944144968599</stp>
        <tr r="G18" s="2"/>
      </tp>
      <tp t="s">
        <v>COGS</v>
        <stp/>
        <stp>BDP|1673958750605532256</stp>
        <tr r="C15" s="2"/>
      </tp>
      <tp t="s">
        <v>21-05-2026</v>
        <stp/>
        <stp>BDP|2820098494192182346</stp>
        <tr r="J9" s="2"/>
      </tp>
      <tp>
        <v>58.478029840473376</v>
        <stp/>
        <stp>BDP|8746413506927034118</stp>
        <tr r="F22" s="2"/>
      </tp>
      <tp>
        <v>50.008087158203125</v>
        <stp/>
        <stp>BDP|4890571969414422940</stp>
        <tr r="E18" s="2"/>
      </tp>
      <tp>
        <v>0.61408901214599609</v>
        <stp/>
        <stp>BDP|2788246659768931770</stp>
        <tr r="D21" s="2"/>
      </tp>
      <tp t="s">
        <v>A</v>
        <stp/>
        <stp>BDP|5105868448537341579</stp>
        <tr r="H18" s="2"/>
      </tp>
      <tp t="s">
        <v>COGS</v>
        <stp/>
        <stp>BDP|7900914042042275304</stp>
        <tr r="C23" s="2"/>
      </tp>
      <tp t="s">
        <v>Q4</v>
        <stp/>
        <stp>BDP|9681343261951808673</stp>
        <tr r="H7" s="2"/>
      </tp>
      <tp t="s">
        <v>Q1</v>
        <stp/>
        <stp>BDP|2312541334687167806</stp>
        <tr r="H9" s="2"/>
      </tp>
      <tp t="s">
        <v>LG Innotek Co Ltd</v>
        <stp/>
        <stp>BDP|7264135885957363201</stp>
        <tr r="B14" s="2"/>
      </tp>
      <tp t="s">
        <v>COGS</v>
        <stp/>
        <stp>BDP|2761674935918641449</stp>
        <tr r="C19" s="2"/>
      </tp>
      <tp>
        <v>40.016075134277344</v>
        <stp/>
        <stp>BDP|9804570757098275518</stp>
        <tr r="E21" s="2"/>
      </tp>
      <tp>
        <v>413.75068800000003</v>
        <stp/>
        <stp>BDP|9727909840327663792</stp>
        <tr r="F5" s="2"/>
      </tp>
      <tp>
        <v>8.4330001845955849E-3</v>
        <stp/>
        <stp>BDP|8668912138584389253</stp>
        <tr r="D24" s="2"/>
      </tp>
      <tp>
        <v>4368.0960670840841</v>
        <stp/>
        <stp>BDP|4486408659860123123</stp>
        <tr r="F13" s="2"/>
      </tp>
      <tp>
        <v>74.575630187988281</v>
        <stp/>
        <stp>BDP|1783596974696551116</stp>
        <tr r="E8" s="2"/>
      </tp>
      <tp t="s">
        <v>A</v>
        <stp/>
        <stp>BDP|9898126271422787939</stp>
        <tr r="H17" s="2"/>
      </tp>
      <tp>
        <v>116.64918786248538</v>
        <stp/>
        <stp>BDP|7184207827352857116</stp>
        <tr r="F9" s="2"/>
      </tp>
      <tp t="s">
        <v>2025</v>
        <stp/>
        <stp>BDP|6189543554907471591</stp>
        <tr r="G20" s="2"/>
      </tp>
      <tp t="s">
        <v>Estimate (300433 CH)</v>
        <stp/>
        <stp>BDP|6497894507782423895</stp>
        <tr r="I20" s="2"/>
      </tp>
      <tp t="s">
        <v>COGS</v>
        <stp/>
        <stp>BDP|7510987877165570941</stp>
        <tr r="C6" s="2"/>
      </tp>
      <tp>
        <v>45.017513275146484</v>
        <stp/>
        <stp>BDP|7710433669174157476</stp>
        <tr r="E20" s="2"/>
      </tp>
      <tp>
        <v>37.513137817382813</v>
        <stp/>
        <stp>BDP|4028626348002109130</stp>
        <tr r="E22" s="2"/>
      </tp>
      <tp t="s">
        <v>2026</v>
        <stp/>
        <stp>BDP|9129989650963792312</stp>
        <tr r="G16" s="2"/>
      </tp>
      <tp>
        <v>5.7163219451904297</v>
        <stp/>
        <stp>BDP|6950349118538613912</stp>
        <tr r="D6" s="2"/>
      </tp>
      <tp t="s">
        <v>CommSeed Corp</v>
        <stp/>
        <stp>BDP|9640907945131197009</stp>
        <tr r="B17" s="2"/>
      </tp>
      <tp>
        <v>1.8758000805974007E-2</v>
        <stp/>
        <stp>BDP|2210945136194379900</stp>
        <tr r="D18" s="2"/>
      </tp>
      <tp t="s">
        <v>A</v>
        <stp/>
        <stp>BDP|7144676702857523301</stp>
        <tr r="H14" s="2"/>
      </tp>
      <tp t="s">
        <v>Estimate (002384 CH)</v>
        <stp/>
        <stp>BDP|6589745116204721167</stp>
        <tr r="I15" s="2"/>
      </tp>
      <tp>
        <v>52</v>
        <stp/>
        <stp>BDP|4434573756413269227</stp>
        <tr r="E14" s="2"/>
      </tp>
      <tp>
        <v>33.970001220703125</v>
        <stp/>
        <stp>BDP|5832040323778337973</stp>
        <tr r="E24" s="2"/>
      </tp>
      <tp t="s">
        <v>COGS</v>
        <stp/>
        <stp>BDP|7851628861700858144</stp>
        <tr r="C13" s="2"/>
      </tp>
      <tp t="s">
        <v>Suzhou Dongshan Precision Manufacturing Co Ltd</v>
        <stp/>
        <stp>BDP|1368618648057890266</stp>
        <tr r="B24" s="2"/>
      </tp>
      <tp t="s">
        <v>COGS</v>
        <stp/>
        <stp>BDP|9748714620822107999</stp>
        <tr r="C9" s="2"/>
      </tp>
      <tp>
        <v>247.31744173128021</v>
        <stp/>
        <stp>BDP|6578203038088687863</stp>
        <tr r="F23" s="2"/>
      </tp>
      <tp t="s">
        <v>23-07-2026</v>
        <stp/>
        <stp>BDP|3425714335692396269</stp>
        <tr r="J13" s="2"/>
      </tp>
      <tp>
        <v>684.55577600000004</v>
        <stp/>
        <stp>BDP|5373957195400953504</stp>
        <tr r="F10" s="2"/>
      </tp>
      <tp t="s">
        <v>COGS</v>
        <stp/>
        <stp>BDP|6175099211356421152</stp>
        <tr r="C17" s="2"/>
      </tp>
      <tp>
        <v>50.419940948486328</v>
        <stp/>
        <stp>BDP|7644702819556219735</stp>
        <tr r="E17" s="2"/>
      </tp>
      <tp t="s">
        <v>CommSeed Corp</v>
        <stp/>
        <stp>BDP|7381753854954592188</stp>
        <tr r="B6" s="2"/>
      </tp>
      <tp t="s">
        <v>25-12-2025</v>
        <stp/>
        <stp>BDP|7916360238590584686</stp>
        <tr r="J18" s="2"/>
      </tp>
      <tp t="s">
        <v>15-09-2026</v>
        <stp/>
        <stp>BDP|3638795935947045106</stp>
        <tr r="J16" s="2"/>
      </tp>
      <tp>
        <v>36.908733367919922</v>
        <stp/>
        <stp>BDP|7595279739931307625</stp>
        <tr r="E23" s="2"/>
      </tp>
      <tp t="s">
        <v>Life360 Inc</v>
        <stp/>
        <stp>BDP|5056787413215868712</stp>
        <tr r="B9" s="2"/>
      </tp>
      <tp t="s">
        <v>Estimate (4938 TT)</v>
        <stp/>
        <stp>BDP|2218139842224985290</stp>
        <tr r="I13" s="2"/>
      </tp>
      <tp t="s">
        <v>2025</v>
        <stp/>
        <stp>BDP|5100993240048199220</stp>
        <tr r="G10" s="2"/>
      </tp>
      <tp t="s">
        <v>LG Innotek Co Ltd</v>
        <stp/>
        <stp>BDP|7399258716635994375</stp>
        <tr r="B8" s="2"/>
      </tp>
      <tp t="s">
        <v>08-05-2026</v>
        <stp/>
        <stp>BDP|7735236215904921272</stp>
        <tr r="J19" s="2"/>
      </tp>
      <tp t="s">
        <v>Estimate (011070 KS)</v>
        <stp/>
        <stp>BDP|4763178347080453303</stp>
        <tr r="I6" s="2"/>
      </tp>
      <tp t="s">
        <v>19-03-2026</v>
        <stp/>
        <stp>BDP|6883336807712814552</stp>
        <tr r="J22" s="2"/>
      </tp>
      <tp t="s">
        <v>2025A CF (4393 JP)</v>
        <stp/>
        <stp>BDP|8455375495728711807</stp>
        <tr r="I18" s="2"/>
      </tp>
      <tp>
        <v>402.36698987017229</v>
        <stp/>
        <stp>BDP|9186662195971404528</stp>
        <tr r="F8" s="2"/>
      </tp>
      <tp>
        <v>65.5</v>
        <stp/>
        <stp>BDP|7589098410425216011</stp>
        <tr r="E11" s="2"/>
      </tp>
      <tp>
        <v>2.4053380489349365</v>
        <stp/>
        <stp>BDP|8611195090624449766</stp>
        <tr r="D20" s="2"/>
      </tp>
      <tp t="s">
        <v>2026</v>
        <stp/>
        <stp>BDP|2255327835263127295</stp>
        <tr r="G24" s="2"/>
      </tp>
      <tp t="s">
        <v>2026</v>
        <stp/>
        <stp>BDP|6680889855500829802</stp>
        <tr r="G13" s="2"/>
      </tp>
      <tp>
        <v>81.063194274902344</v>
        <stp/>
        <stp>BDP|8067557120644254878</stp>
        <tr r="E6" s="2"/>
      </tp>
      <tp t="s">
        <v>2025A CF (SWKS US)</v>
        <stp/>
        <stp>BDP|28616405947358025</stp>
        <tr r="I10" s="2"/>
      </tp>
      <tp t="s">
        <v>Estimate (000049 CH)</v>
        <stp/>
        <stp>BDP|516454241742113706</stp>
        <tr r="I21" s="2"/>
      </tp>
      <tp t="s">
        <v>Gumi Inc</v>
        <stp/>
        <stp>BDP|232270710411615469</stp>
        <tr r="B16" s="2"/>
      </tp>
      <tp t="s">
        <v>Q2</v>
        <stp/>
        <stp>BDP|463601651691449340</stp>
        <tr r="H16" s="2"/>
      </tp>
      <tp t="s">
        <v>06-08-2026</v>
        <stp/>
        <stp>BDP|397768913808692266</stp>
        <tr r="J11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A6" sqref="A6"/>
    </sheetView>
  </sheetViews>
  <sheetFormatPr defaultRowHeight="15" x14ac:dyDescent="0.25"/>
  <cols>
    <col min="1" max="1" width="22.85546875" customWidth="1"/>
    <col min="2" max="2" width="47.5703125" customWidth="1"/>
    <col min="3" max="5" width="15.28515625" customWidth="1"/>
    <col min="6" max="6" width="31.42578125" customWidth="1"/>
    <col min="7" max="9" width="19" customWidth="1"/>
    <col min="10" max="10" width="12.42578125" customWidth="1"/>
  </cols>
  <sheetData>
    <row r="1" spans="1:10" x14ac:dyDescent="0.25">
      <c r="A1" s="4"/>
      <c r="B1" s="4"/>
      <c r="C1" s="4"/>
      <c r="D1" s="4"/>
      <c r="E1" s="4"/>
      <c r="F1" s="4"/>
      <c r="G1" s="4"/>
      <c r="H1" s="4"/>
      <c r="I1" s="4"/>
      <c r="J1" s="4"/>
    </row>
    <row r="2" spans="1:10" ht="20.25" x14ac:dyDescent="0.25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7" t="s">
        <v>1</v>
      </c>
      <c r="B4" s="7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7" t="s">
        <v>8</v>
      </c>
      <c r="I4" s="7" t="s">
        <v>9</v>
      </c>
      <c r="J4" s="8" t="s">
        <v>10</v>
      </c>
    </row>
    <row r="5" spans="1:10" x14ac:dyDescent="0.25">
      <c r="A5" t="str">
        <f>_xll.BDS("AAPL US Equity", "SUPPLY_CHAIN_SUPPLIERS","SUPPLY_CHAIN_SUM_COUNT_OVERRIDE=20,QUANTIFIED_OVERRIDE=Y,SUP_CHAIN_RELATIONSHIP_SORT_OVR=R","cols=1;rows=20")</f>
        <v>CRUS US Equity</v>
      </c>
      <c r="B5" t="str">
        <f>IF(ISBLANK(A5),"",_xll.BDP(A5, "LONG_COMP_NAME",""))</f>
        <v>Cirrus Logic Inc</v>
      </c>
      <c r="C5" t="str">
        <f>IF(ISBLANK(A5),"",_xll.BDP("AAPL US Equity", "SUPPLY_CHAIN_COST_ACCOUNT_TYPE","RELATIONSHIP_OVERRIDE=S,QUANTIFIED_OVERRIDE=Y,EQY_FUND_CRNCY=USD,RELATED_COMPANY_OVERRIDE=" &amp;A5))</f>
        <v>COGS</v>
      </c>
      <c r="D5" s="6">
        <f>IF(ISBLANK(A5),"",_xll.BDP("AAPL US Equity", "SUPPLY_CHAIN_COST_PERCENTAGE","RELATIONSHIP_OVERRIDE=S,QUANTIFIED_OVERRIDE=Y,EQY_FUND_CRNCY=USD,RELATED_COMPANY_OVERRIDE=" &amp;A5))</f>
        <v>0.75713300704956055</v>
      </c>
      <c r="E5" s="6">
        <f>IF(ISBLANK(A5),"",_xll.BDP("AAPL US Equity", "SUPPLY_CHAIN_REVENUE_PERCENTAGE","RELATIONSHIP_OVERRIDE=S,QUANTIFIED_OVERRIDE=Y,EQY_FUND_CRNCY=USD,RELATED_COMPANY_OVERRIDE=" &amp;A5))</f>
        <v>90</v>
      </c>
      <c r="F5" s="5">
        <f>IF(ISBLANK(A5),"",_xll.BDP("AAPL US Equity", "RELATIONSHIP_AMOUNT","RELATIONSHIP_OVERRIDE=S,QUANTIFIED_OVERRIDE=Y,EQY_FUND_CRNCY=USD,RELATED_COMPANY_OVERRIDE=" &amp;A5))</f>
        <v>413.75068800000003</v>
      </c>
      <c r="G5" t="str">
        <f>IF(ISBLANK(A5),"",_xll.BDP("AAPL US Equity", "RELATIONSHIP_YEAR","RELATIONSHIP_OVERRIDE=S,QUANTIFIED_OVERRIDE=Y,EQY_FUND_CRNCY=USD,RELATED_COMPANY_OVERRIDE=" &amp;A5))</f>
        <v>2027</v>
      </c>
      <c r="H5" t="str">
        <f>IF(ISBLANK(A5),"",_xll.BDP("AAPL US Equity", "RELATIONSHIP_PERIOD","RELATIONSHIP_OVERRIDE=S,QUANTIFIED_OVERRIDE=Y,EQY_FUND_CRNCY=USD,RELATED_COMPANY_OVERRIDE=" &amp;A5))</f>
        <v>Q1</v>
      </c>
      <c r="I5" t="str">
        <f>IF(ISBLANK(A5),"",_xll.BDP("AAPL US Equity", "SOURCE_OF_RELATIONSHIP","RELATIONSHIP_OVERRIDE=S,QUANTIFIED_OVERRIDE=Y,EQY_FUND_CRNCY=USD,RELATED_COMPANY_OVERRIDE=" &amp;A5))</f>
        <v>2027Q1 CF (CRUS US)</v>
      </c>
      <c r="J5" t="str">
        <f>IF(ISBLANK(A5),"",_xll.BDP("AAPL US Equity", "RELATIONSHIP_AS_OF_DATE","RELATIONSHIP_OVERRIDE=S,QUANTIFIED_OVERRIDE=Y,EQY_FUND_CRNCY=USD,RELATED_COMPANY_OVERRIDE=" &amp;A5))</f>
        <v>05-08-2026</v>
      </c>
    </row>
    <row r="6" spans="1:10" x14ac:dyDescent="0.25">
      <c r="A6" t="s">
        <v>14</v>
      </c>
      <c r="B6" t="str">
        <f>IF(ISBLANK(A6),"",_xll.BDP(A6, "LONG_COMP_NAME",""))</f>
        <v>LG Innotek Co Ltd</v>
      </c>
      <c r="C6" t="str">
        <f>IF(ISBLANK(A6),"",_xll.BDP("AAPL US Equity", "SUPPLY_CHAIN_COST_ACCOUNT_TYPE","RELATIONSHIP_OVERRIDE=S,QUANTIFIED_OVERRIDE=Y,EQY_FUND_CRNCY=USD,RELATED_COMPANY_OVERRIDE=" &amp;A6))</f>
        <v>COGS</v>
      </c>
      <c r="D6" s="6">
        <f>IF(ISBLANK(A6),"",_xll.BDP("AAPL US Equity", "SUPPLY_CHAIN_COST_PERCENTAGE","RELATIONSHIP_OVERRIDE=S,QUANTIFIED_OVERRIDE=Y,EQY_FUND_CRNCY=USD,RELATED_COMPANY_OVERRIDE=" &amp;A6))</f>
        <v>5.7163219451904297</v>
      </c>
      <c r="E6" s="6">
        <f>IF(ISBLANK(A6),"",_xll.BDP("AAPL US Equity", "SUPPLY_CHAIN_REVENUE_PERCENTAGE","RELATIONSHIP_OVERRIDE=S,QUANTIFIED_OVERRIDE=Y,EQY_FUND_CRNCY=USD,RELATED_COMPANY_OVERRIDE=" &amp;A6))</f>
        <v>81.063194274902344</v>
      </c>
      <c r="F6" s="5">
        <f>IF(ISBLANK(A6),"",_xll.BDP("AAPL US Equity", "RELATIONSHIP_AMOUNT","RELATIONSHIP_OVERRIDE=S,QUANTIFIED_OVERRIDE=Y,EQY_FUND_CRNCY=USD,RELATED_COMPANY_OVERRIDE=" &amp;A6))</f>
        <v>4260.0919276917048</v>
      </c>
      <c r="G6" t="str">
        <f>IF(ISBLANK(A6),"",_xll.BDP("AAPL US Equity", "RELATIONSHIP_YEAR","RELATIONSHIP_OVERRIDE=S,QUANTIFIED_OVERRIDE=Y,EQY_FUND_CRNCY=USD,RELATED_COMPANY_OVERRIDE=" &amp;A6))</f>
        <v>2025</v>
      </c>
      <c r="H6" t="str">
        <f>IF(ISBLANK(A6),"",_xll.BDP("AAPL US Equity", "RELATIONSHIP_PERIOD","RELATIONSHIP_OVERRIDE=S,QUANTIFIED_OVERRIDE=Y,EQY_FUND_CRNCY=USD,RELATED_COMPANY_OVERRIDE=" &amp;A6))</f>
        <v>Q4</v>
      </c>
      <c r="I6" t="str">
        <f>IF(ISBLANK(A6),"",_xll.BDP("AAPL US Equity", "SOURCE_OF_RELATIONSHIP","RELATIONSHIP_OVERRIDE=S,QUANTIFIED_OVERRIDE=Y,EQY_FUND_CRNCY=USD,RELATED_COMPANY_OVERRIDE=" &amp;A6))</f>
        <v>Estimate (011070 KS)</v>
      </c>
      <c r="J6" t="str">
        <f>IF(ISBLANK(A6),"",_xll.BDP("AAPL US Equity", "RELATIONSHIP_AS_OF_DATE","RELATIONSHIP_OVERRIDE=S,QUANTIFIED_OVERRIDE=Y,EQY_FUND_CRNCY=USD,RELATED_COMPANY_OVERRIDE=" &amp;A6))</f>
        <v>17-04-2026</v>
      </c>
    </row>
    <row r="7" spans="1:10" x14ac:dyDescent="0.25">
      <c r="A7" t="s">
        <v>15</v>
      </c>
      <c r="B7" t="str">
        <f>IF(ISBLANK(A7),"",_xll.BDP(A7, "LONG_COMP_NAME",""))</f>
        <v>Zhen Ding Technology Holding Ltd</v>
      </c>
      <c r="C7" t="str">
        <f>IF(ISBLANK(A7),"",_xll.BDP("AAPL US Equity", "SUPPLY_CHAIN_COST_ACCOUNT_TYPE","RELATIONSHIP_OVERRIDE=S,QUANTIFIED_OVERRIDE=Y,EQY_FUND_CRNCY=USD,RELATED_COMPANY_OVERRIDE=" &amp;A7))</f>
        <v>COGS</v>
      </c>
      <c r="D7" s="6">
        <f>IF(ISBLANK(A7),"",_xll.BDP("AAPL US Equity", "SUPPLY_CHAIN_COST_PERCENTAGE","RELATIONSHIP_OVERRIDE=S,QUANTIFIED_OVERRIDE=Y,EQY_FUND_CRNCY=USD,RELATED_COMPANY_OVERRIDE=" &amp;A7))</f>
        <v>2.1049959659576416</v>
      </c>
      <c r="E7" s="6">
        <f>IF(ISBLANK(A7),"",_xll.BDP("AAPL US Equity", "SUPPLY_CHAIN_REVENUE_PERCENTAGE","RELATIONSHIP_OVERRIDE=S,QUANTIFIED_OVERRIDE=Y,EQY_FUND_CRNCY=USD,RELATED_COMPANY_OVERRIDE=" &amp;A7))</f>
        <v>75.097297668457031</v>
      </c>
      <c r="F7" s="5">
        <f>IF(ISBLANK(A7),"",_xll.BDP("AAPL US Equity", "RELATIONSHIP_AMOUNT","RELATIONSHIP_OVERRIDE=S,QUANTIFIED_OVERRIDE=Y,EQY_FUND_CRNCY=USD,RELATED_COMPANY_OVERRIDE=" &amp;A7))</f>
        <v>1171.9143119953751</v>
      </c>
      <c r="G7" t="str">
        <f>IF(ISBLANK(A7),"",_xll.BDP("AAPL US Equity", "RELATIONSHIP_YEAR","RELATIONSHIP_OVERRIDE=S,QUANTIFIED_OVERRIDE=Y,EQY_FUND_CRNCY=USD,RELATED_COMPANY_OVERRIDE=" &amp;A7))</f>
        <v>2025</v>
      </c>
      <c r="H7" t="str">
        <f>IF(ISBLANK(A7),"",_xll.BDP("AAPL US Equity", "RELATIONSHIP_PERIOD","RELATIONSHIP_OVERRIDE=S,QUANTIFIED_OVERRIDE=Y,EQY_FUND_CRNCY=USD,RELATED_COMPANY_OVERRIDE=" &amp;A7))</f>
        <v>Q4</v>
      </c>
      <c r="I7" t="str">
        <f>IF(ISBLANK(A7),"",_xll.BDP("AAPL US Equity", "SOURCE_OF_RELATIONSHIP","RELATIONSHIP_OVERRIDE=S,QUANTIFIED_OVERRIDE=Y,EQY_FUND_CRNCY=USD,RELATED_COMPANY_OVERRIDE=" &amp;A7))</f>
        <v>Estimate (4958 TT)</v>
      </c>
      <c r="J7" t="str">
        <f>IF(ISBLANK(A7),"",_xll.BDP("AAPL US Equity", "RELATIONSHIP_AS_OF_DATE","RELATIONSHIP_OVERRIDE=S,QUANTIFIED_OVERRIDE=Y,EQY_FUND_CRNCY=USD,RELATED_COMPANY_OVERRIDE=" &amp;A7))</f>
        <v>21-09-2026</v>
      </c>
    </row>
    <row r="8" spans="1:10" x14ac:dyDescent="0.25">
      <c r="A8" t="s">
        <v>16</v>
      </c>
      <c r="B8" t="str">
        <f>IF(ISBLANK(A8),"",_xll.BDP(A8, "LONG_COMP_NAME",""))</f>
        <v>General Interface Solution GIS Holding Ltd</v>
      </c>
      <c r="C8" t="str">
        <f>IF(ISBLANK(A8),"",_xll.BDP("AAPL US Equity", "SUPPLY_CHAIN_COST_ACCOUNT_TYPE","RELATIONSHIP_OVERRIDE=S,QUANTIFIED_OVERRIDE=Y,EQY_FUND_CRNCY=USD,RELATED_COMPANY_OVERRIDE=" &amp;A8))</f>
        <v>COGS</v>
      </c>
      <c r="D8" s="6">
        <f>IF(ISBLANK(A8),"",_xll.BDP("AAPL US Equity", "SUPPLY_CHAIN_COST_PERCENTAGE","RELATIONSHIP_OVERRIDE=S,QUANTIFIED_OVERRIDE=Y,EQY_FUND_CRNCY=USD,RELATED_COMPANY_OVERRIDE=" &amp;A8))</f>
        <v>0.52087801694869995</v>
      </c>
      <c r="E8" s="6">
        <f>IF(ISBLANK(A8),"",_xll.BDP("AAPL US Equity", "SUPPLY_CHAIN_REVENUE_PERCENTAGE","RELATIONSHIP_OVERRIDE=S,QUANTIFIED_OVERRIDE=Y,EQY_FUND_CRNCY=USD,RELATED_COMPANY_OVERRIDE=" &amp;A8))</f>
        <v>74.575630187988281</v>
      </c>
      <c r="F8" s="5">
        <f>IF(ISBLANK(A8),"",_xll.BDP("AAPL US Equity", "RELATIONSHIP_AMOUNT","RELATIONSHIP_OVERRIDE=S,QUANTIFIED_OVERRIDE=Y,EQY_FUND_CRNCY=USD,RELATED_COMPANY_OVERRIDE=" &amp;A8))</f>
        <v>402.36698987017229</v>
      </c>
      <c r="G8" t="str">
        <f>IF(ISBLANK(A8),"",_xll.BDP("AAPL US Equity", "RELATIONSHIP_YEAR","RELATIONSHIP_OVERRIDE=S,QUANTIFIED_OVERRIDE=Y,EQY_FUND_CRNCY=USD,RELATED_COMPANY_OVERRIDE=" &amp;A8))</f>
        <v>2025</v>
      </c>
      <c r="H8" t="str">
        <f>IF(ISBLANK(A8),"",_xll.BDP("AAPL US Equity", "RELATIONSHIP_PERIOD","RELATIONSHIP_OVERRIDE=S,QUANTIFIED_OVERRIDE=Y,EQY_FUND_CRNCY=USD,RELATED_COMPANY_OVERRIDE=" &amp;A8))</f>
        <v>Q3</v>
      </c>
      <c r="I8" t="str">
        <f>IF(ISBLANK(A8),"",_xll.BDP("AAPL US Equity", "SOURCE_OF_RELATIONSHIP","RELATIONSHIP_OVERRIDE=S,QUANTIFIED_OVERRIDE=Y,EQY_FUND_CRNCY=USD,RELATED_COMPANY_OVERRIDE=" &amp;A8))</f>
        <v>Estimate (6456 TT)</v>
      </c>
      <c r="J8" t="str">
        <f>IF(ISBLANK(A8),"",_xll.BDP("AAPL US Equity", "RELATIONSHIP_AS_OF_DATE","RELATIONSHIP_OVERRIDE=S,QUANTIFIED_OVERRIDE=Y,EQY_FUND_CRNCY=USD,RELATED_COMPANY_OVERRIDE=" &amp;A8))</f>
        <v>14-02-2026</v>
      </c>
    </row>
    <row r="9" spans="1:10" x14ac:dyDescent="0.25">
      <c r="A9" t="s">
        <v>17</v>
      </c>
      <c r="B9" t="str">
        <f>IF(ISBLANK(A9),"",_xll.BDP(A9, "LONG_COMP_NAME",""))</f>
        <v>FLEXium Interconnect Inc</v>
      </c>
      <c r="C9" t="str">
        <f>IF(ISBLANK(A9),"",_xll.BDP("AAPL US Equity", "SUPPLY_CHAIN_COST_ACCOUNT_TYPE","RELATIONSHIP_OVERRIDE=S,QUANTIFIED_OVERRIDE=Y,EQY_FUND_CRNCY=USD,RELATED_COMPANY_OVERRIDE=" &amp;A9))</f>
        <v>COGS</v>
      </c>
      <c r="D9" s="6">
        <f>IF(ISBLANK(A9),"",_xll.BDP("AAPL US Equity", "SUPPLY_CHAIN_COST_PERCENTAGE","RELATIONSHIP_OVERRIDE=S,QUANTIFIED_OVERRIDE=Y,EQY_FUND_CRNCY=USD,RELATED_COMPANY_OVERRIDE=" &amp;A9))</f>
        <v>0.20693099498748779</v>
      </c>
      <c r="E9" s="6">
        <f>IF(ISBLANK(A9),"",_xll.BDP("AAPL US Equity", "SUPPLY_CHAIN_REVENUE_PERCENTAGE","RELATIONSHIP_OVERRIDE=S,QUANTIFIED_OVERRIDE=Y,EQY_FUND_CRNCY=USD,RELATED_COMPANY_OVERRIDE=" &amp;A9))</f>
        <v>67.476753234863281</v>
      </c>
      <c r="F9" s="5">
        <f>IF(ISBLANK(A9),"",_xll.BDP("AAPL US Equity", "RELATIONSHIP_AMOUNT","RELATIONSHIP_OVERRIDE=S,QUANTIFIED_OVERRIDE=Y,EQY_FUND_CRNCY=USD,RELATED_COMPANY_OVERRIDE=" &amp;A9))</f>
        <v>116.64918786248538</v>
      </c>
      <c r="G9" t="str">
        <f>IF(ISBLANK(A9),"",_xll.BDP("AAPL US Equity", "RELATIONSHIP_YEAR","RELATIONSHIP_OVERRIDE=S,QUANTIFIED_OVERRIDE=Y,EQY_FUND_CRNCY=USD,RELATED_COMPANY_OVERRIDE=" &amp;A9))</f>
        <v>2026</v>
      </c>
      <c r="H9" t="str">
        <f>IF(ISBLANK(A9),"",_xll.BDP("AAPL US Equity", "RELATIONSHIP_PERIOD","RELATIONSHIP_OVERRIDE=S,QUANTIFIED_OVERRIDE=Y,EQY_FUND_CRNCY=USD,RELATED_COMPANY_OVERRIDE=" &amp;A9))</f>
        <v>Q1</v>
      </c>
      <c r="I9" t="str">
        <f>IF(ISBLANK(A9),"",_xll.BDP("AAPL US Equity", "SOURCE_OF_RELATIONSHIP","RELATIONSHIP_OVERRIDE=S,QUANTIFIED_OVERRIDE=Y,EQY_FUND_CRNCY=USD,RELATED_COMPANY_OVERRIDE=" &amp;A9))</f>
        <v>Estimate (6269 TT)</v>
      </c>
      <c r="J9" t="str">
        <f>IF(ISBLANK(A9),"",_xll.BDP("AAPL US Equity", "RELATIONSHIP_AS_OF_DATE","RELATIONSHIP_OVERRIDE=S,QUANTIFIED_OVERRIDE=Y,EQY_FUND_CRNCY=USD,RELATED_COMPANY_OVERRIDE=" &amp;A9))</f>
        <v>21-05-2026</v>
      </c>
    </row>
    <row r="10" spans="1:10" x14ac:dyDescent="0.25">
      <c r="A10" t="s">
        <v>18</v>
      </c>
      <c r="B10" t="str">
        <f>IF(ISBLANK(A10),"",_xll.BDP(A10, "LONG_COMP_NAME",""))</f>
        <v>Skyworks Solutions Inc</v>
      </c>
      <c r="C10" t="str">
        <f>IF(ISBLANK(A10),"",_xll.BDP("AAPL US Equity", "SUPPLY_CHAIN_COST_ACCOUNT_TYPE","RELATIONSHIP_OVERRIDE=S,QUANTIFIED_OVERRIDE=Y,EQY_FUND_CRNCY=USD,RELATED_COMPANY_OVERRIDE=" &amp;A10))</f>
        <v>COGS</v>
      </c>
      <c r="D10" s="6">
        <f>IF(ISBLANK(A10),"",_xll.BDP("AAPL US Equity", "SUPPLY_CHAIN_COST_PERCENTAGE","RELATIONSHIP_OVERRIDE=S,QUANTIFIED_OVERRIDE=Y,EQY_FUND_CRNCY=USD,RELATED_COMPANY_OVERRIDE=" &amp;A10))</f>
        <v>1.239238977432251</v>
      </c>
      <c r="E10" s="6">
        <f>IF(ISBLANK(A10),"",_xll.BDP("AAPL US Equity", "SUPPLY_CHAIN_REVENUE_PERCENTAGE","RELATIONSHIP_OVERRIDE=S,QUANTIFIED_OVERRIDE=Y,EQY_FUND_CRNCY=USD,RELATED_COMPANY_OVERRIDE=" &amp;A10))</f>
        <v>67</v>
      </c>
      <c r="F10" s="5">
        <f>IF(ISBLANK(A10),"",_xll.BDP("AAPL US Equity", "RELATIONSHIP_AMOUNT","RELATIONSHIP_OVERRIDE=S,QUANTIFIED_OVERRIDE=Y,EQY_FUND_CRNCY=USD,RELATED_COMPANY_OVERRIDE=" &amp;A10))</f>
        <v>684.55577600000004</v>
      </c>
      <c r="G10" t="str">
        <f>IF(ISBLANK(A10),"",_xll.BDP("AAPL US Equity", "RELATIONSHIP_YEAR","RELATIONSHIP_OVERRIDE=S,QUANTIFIED_OVERRIDE=Y,EQY_FUND_CRNCY=USD,RELATED_COMPANY_OVERRIDE=" &amp;A10))</f>
        <v>2025</v>
      </c>
      <c r="H10" t="str">
        <f>IF(ISBLANK(A10),"",_xll.BDP("AAPL US Equity", "RELATIONSHIP_PERIOD","RELATIONSHIP_OVERRIDE=S,QUANTIFIED_OVERRIDE=Y,EQY_FUND_CRNCY=USD,RELATED_COMPANY_OVERRIDE=" &amp;A10))</f>
        <v>A</v>
      </c>
      <c r="I10" t="str">
        <f>IF(ISBLANK(A10),"",_xll.BDP("AAPL US Equity", "SOURCE_OF_RELATIONSHIP","RELATIONSHIP_OVERRIDE=S,QUANTIFIED_OVERRIDE=Y,EQY_FUND_CRNCY=USD,RELATED_COMPANY_OVERRIDE=" &amp;A10))</f>
        <v>2025A CF (SWKS US)</v>
      </c>
      <c r="J10" t="str">
        <f>IF(ISBLANK(A10),"",_xll.BDP("AAPL US Equity", "RELATIONSHIP_AS_OF_DATE","RELATIONSHIP_OVERRIDE=S,QUANTIFIED_OVERRIDE=Y,EQY_FUND_CRNCY=USD,RELATED_COMPANY_OVERRIDE=" &amp;A10))</f>
        <v>07-11-2025</v>
      </c>
    </row>
    <row r="11" spans="1:10" x14ac:dyDescent="0.25">
      <c r="A11" t="s">
        <v>19</v>
      </c>
      <c r="B11" t="str">
        <f>IF(ISBLANK(A11),"",_xll.BDP(A11, "LONG_COMP_NAME",""))</f>
        <v>Duolingo Inc</v>
      </c>
      <c r="C11" t="str">
        <f>IF(ISBLANK(A11),"",_xll.BDP("AAPL US Equity", "SUPPLY_CHAIN_COST_ACCOUNT_TYPE","RELATIONSHIP_OVERRIDE=S,QUANTIFIED_OVERRIDE=Y,EQY_FUND_CRNCY=USD,RELATED_COMPANY_OVERRIDE=" &amp;A11))</f>
        <v>COGS</v>
      </c>
      <c r="D11" s="6">
        <f>IF(ISBLANK(A11),"",_xll.BDP("AAPL US Equity", "SUPPLY_CHAIN_COST_PERCENTAGE","RELATIONSHIP_OVERRIDE=S,QUANTIFIED_OVERRIDE=Y,EQY_FUND_CRNCY=USD,RELATED_COMPANY_OVERRIDE=" &amp;A11))</f>
        <v>0.35772800445556641</v>
      </c>
      <c r="E11" s="6">
        <f>IF(ISBLANK(A11),"",_xll.BDP("AAPL US Equity", "SUPPLY_CHAIN_REVENUE_PERCENTAGE","RELATIONSHIP_OVERRIDE=S,QUANTIFIED_OVERRIDE=Y,EQY_FUND_CRNCY=USD,RELATED_COMPANY_OVERRIDE=" &amp;A11))</f>
        <v>65.5</v>
      </c>
      <c r="F11" s="5">
        <f>IF(ISBLANK(A11),"",_xll.BDP("AAPL US Equity", "RELATIONSHIP_AMOUNT","RELATIONSHIP_OVERRIDE=S,QUANTIFIED_OVERRIDE=Y,EQY_FUND_CRNCY=USD,RELATED_COMPANY_OVERRIDE=" &amp;A11))</f>
        <v>195.48737600000001</v>
      </c>
      <c r="G11" t="str">
        <f>IF(ISBLANK(A11),"",_xll.BDP("AAPL US Equity", "RELATIONSHIP_YEAR","RELATIONSHIP_OVERRIDE=S,QUANTIFIED_OVERRIDE=Y,EQY_FUND_CRNCY=USD,RELATED_COMPANY_OVERRIDE=" &amp;A11))</f>
        <v>2026</v>
      </c>
      <c r="H11" t="str">
        <f>IF(ISBLANK(A11),"",_xll.BDP("AAPL US Equity", "RELATIONSHIP_PERIOD","RELATIONSHIP_OVERRIDE=S,QUANTIFIED_OVERRIDE=Y,EQY_FUND_CRNCY=USD,RELATED_COMPANY_OVERRIDE=" &amp;A11))</f>
        <v>Q2</v>
      </c>
      <c r="I11" t="str">
        <f>IF(ISBLANK(A11),"",_xll.BDP("AAPL US Equity", "SOURCE_OF_RELATIONSHIP","RELATIONSHIP_OVERRIDE=S,QUANTIFIED_OVERRIDE=Y,EQY_FUND_CRNCY=USD,RELATED_COMPANY_OVERRIDE=" &amp;A11))</f>
        <v>2026Q2 CF (DUOL US)</v>
      </c>
      <c r="J11" t="str">
        <f>IF(ISBLANK(A11),"",_xll.BDP("AAPL US Equity", "RELATIONSHIP_AS_OF_DATE","RELATIONSHIP_OVERRIDE=S,QUANTIFIED_OVERRIDE=Y,EQY_FUND_CRNCY=USD,RELATED_COMPANY_OVERRIDE=" &amp;A11))</f>
        <v>06-08-2026</v>
      </c>
    </row>
    <row r="12" spans="1:10" x14ac:dyDescent="0.25">
      <c r="A12" t="s">
        <v>20</v>
      </c>
      <c r="B12" t="str">
        <f>IF(ISBLANK(A12),"",_xll.BDP(A12, "LONG_COMP_NAME",""))</f>
        <v>Luxshare Precision Industry Co Ltd</v>
      </c>
      <c r="C12" t="str">
        <f>IF(ISBLANK(A12),"",_xll.BDP("AAPL US Equity", "SUPPLY_CHAIN_COST_ACCOUNT_TYPE","RELATIONSHIP_OVERRIDE=S,QUANTIFIED_OVERRIDE=Y,EQY_FUND_CRNCY=USD,RELATED_COMPANY_OVERRIDE=" &amp;A12))</f>
        <v>COGS</v>
      </c>
      <c r="D12" s="6">
        <f>IF(ISBLANK(A12),"",_xll.BDP("AAPL US Equity", "SUPPLY_CHAIN_COST_PERCENTAGE","RELATIONSHIP_OVERRIDE=S,QUANTIFIED_OVERRIDE=Y,EQY_FUND_CRNCY=USD,RELATED_COMPANY_OVERRIDE=" &amp;A12))</f>
        <v>12.164957046508789</v>
      </c>
      <c r="E12" s="6">
        <f>IF(ISBLANK(A12),"",_xll.BDP("AAPL US Equity", "SUPPLY_CHAIN_REVENUE_PERCENTAGE","RELATIONSHIP_OVERRIDE=S,QUANTIFIED_OVERRIDE=Y,EQY_FUND_CRNCY=USD,RELATED_COMPANY_OVERRIDE=" &amp;A12))</f>
        <v>56.673625946044922</v>
      </c>
      <c r="F12" s="5">
        <f>IF(ISBLANK(A12),"",_xll.BDP("AAPL US Equity", "RELATIONSHIP_AMOUNT","RELATIONSHIP_OVERRIDE=S,QUANTIFIED_OVERRIDE=Y,EQY_FUND_CRNCY=USD,RELATED_COMPANY_OVERRIDE=" &amp;A12))</f>
        <v>6864.8814360096385</v>
      </c>
      <c r="G12" t="str">
        <f>IF(ISBLANK(A12),"",_xll.BDP("AAPL US Equity", "RELATIONSHIP_YEAR","RELATIONSHIP_OVERRIDE=S,QUANTIFIED_OVERRIDE=Y,EQY_FUND_CRNCY=USD,RELATED_COMPANY_OVERRIDE=" &amp;A12))</f>
        <v>2026</v>
      </c>
      <c r="H12" t="str">
        <f>IF(ISBLANK(A12),"",_xll.BDP("AAPL US Equity", "RELATIONSHIP_PERIOD","RELATIONSHIP_OVERRIDE=S,QUANTIFIED_OVERRIDE=Y,EQY_FUND_CRNCY=USD,RELATED_COMPANY_OVERRIDE=" &amp;A12))</f>
        <v>Q1</v>
      </c>
      <c r="I12" t="str">
        <f>IF(ISBLANK(A12),"",_xll.BDP("AAPL US Equity", "SOURCE_OF_RELATIONSHIP","RELATIONSHIP_OVERRIDE=S,QUANTIFIED_OVERRIDE=Y,EQY_FUND_CRNCY=USD,RELATED_COMPANY_OVERRIDE=" &amp;A12))</f>
        <v>Estimate (002475 CH)</v>
      </c>
      <c r="J12" t="str">
        <f>IF(ISBLANK(A12),"",_xll.BDP("AAPL US Equity", "RELATIONSHIP_AS_OF_DATE","RELATIONSHIP_OVERRIDE=S,QUANTIFIED_OVERRIDE=Y,EQY_FUND_CRNCY=USD,RELATED_COMPANY_OVERRIDE=" &amp;A12))</f>
        <v>08-06-2026</v>
      </c>
    </row>
    <row r="13" spans="1:10" x14ac:dyDescent="0.25">
      <c r="A13" t="s">
        <v>21</v>
      </c>
      <c r="B13" t="str">
        <f>IF(ISBLANK(A13),"",_xll.BDP(A13, "LONG_COMP_NAME",""))</f>
        <v>Pegatron Corp</v>
      </c>
      <c r="C13" t="str">
        <f>IF(ISBLANK(A13),"",_xll.BDP("AAPL US Equity", "SUPPLY_CHAIN_COST_ACCOUNT_TYPE","RELATIONSHIP_OVERRIDE=S,QUANTIFIED_OVERRIDE=Y,EQY_FUND_CRNCY=USD,RELATED_COMPANY_OVERRIDE=" &amp;A13))</f>
        <v>COGS</v>
      </c>
      <c r="D13" s="6">
        <f>IF(ISBLANK(A13),"",_xll.BDP("AAPL US Equity", "SUPPLY_CHAIN_COST_PERCENTAGE","RELATIONSHIP_OVERRIDE=S,QUANTIFIED_OVERRIDE=Y,EQY_FUND_CRNCY=USD,RELATED_COMPANY_OVERRIDE=" &amp;A13))</f>
        <v>7.7488360404968262</v>
      </c>
      <c r="E13" s="6">
        <f>IF(ISBLANK(A13),"",_xll.BDP("AAPL US Equity", "SUPPLY_CHAIN_REVENUE_PERCENTAGE","RELATIONSHIP_OVERRIDE=S,QUANTIFIED_OVERRIDE=Y,EQY_FUND_CRNCY=USD,RELATED_COMPANY_OVERRIDE=" &amp;A13))</f>
        <v>56.589694976806641</v>
      </c>
      <c r="F13" s="5">
        <f>IF(ISBLANK(A13),"",_xll.BDP("AAPL US Equity", "RELATIONSHIP_AMOUNT","RELATIONSHIP_OVERRIDE=S,QUANTIFIED_OVERRIDE=Y,EQY_FUND_CRNCY=USD,RELATED_COMPANY_OVERRIDE=" &amp;A13))</f>
        <v>4368.0960670840841</v>
      </c>
      <c r="G13" t="str">
        <f>IF(ISBLANK(A13),"",_xll.BDP("AAPL US Equity", "RELATIONSHIP_YEAR","RELATIONSHIP_OVERRIDE=S,QUANTIFIED_OVERRIDE=Y,EQY_FUND_CRNCY=USD,RELATED_COMPANY_OVERRIDE=" &amp;A13))</f>
        <v>2026</v>
      </c>
      <c r="H13" t="str">
        <f>IF(ISBLANK(A13),"",_xll.BDP("AAPL US Equity", "RELATIONSHIP_PERIOD","RELATIONSHIP_OVERRIDE=S,QUANTIFIED_OVERRIDE=Y,EQY_FUND_CRNCY=USD,RELATED_COMPANY_OVERRIDE=" &amp;A13))</f>
        <v>Q1</v>
      </c>
      <c r="I13" t="str">
        <f>IF(ISBLANK(A13),"",_xll.BDP("AAPL US Equity", "SOURCE_OF_RELATIONSHIP","RELATIONSHIP_OVERRIDE=S,QUANTIFIED_OVERRIDE=Y,EQY_FUND_CRNCY=USD,RELATED_COMPANY_OVERRIDE=" &amp;A13))</f>
        <v>Estimate (4938 TT)</v>
      </c>
      <c r="J13" t="str">
        <f>IF(ISBLANK(A13),"",_xll.BDP("AAPL US Equity", "RELATIONSHIP_AS_OF_DATE","RELATIONSHIP_OVERRIDE=S,QUANTIFIED_OVERRIDE=Y,EQY_FUND_CRNCY=USD,RELATED_COMPANY_OVERRIDE=" &amp;A13))</f>
        <v>23-07-2026</v>
      </c>
    </row>
    <row r="14" spans="1:10" x14ac:dyDescent="0.25">
      <c r="A14" t="s">
        <v>22</v>
      </c>
      <c r="B14" t="str">
        <f>IF(ISBLANK(A14),"",_xll.BDP(A14, "LONG_COMP_NAME",""))</f>
        <v>Life360 Inc</v>
      </c>
      <c r="C14" t="str">
        <f>IF(ISBLANK(A14),"",_xll.BDP("AAPL US Equity", "SUPPLY_CHAIN_COST_ACCOUNT_TYPE","RELATIONSHIP_OVERRIDE=S,QUANTIFIED_OVERRIDE=Y,EQY_FUND_CRNCY=USD,RELATED_COMPANY_OVERRIDE=" &amp;A14))</f>
        <v>COGS</v>
      </c>
      <c r="D14" s="6">
        <f>IF(ISBLANK(A14),"",_xll.BDP("AAPL US Equity", "SUPPLY_CHAIN_COST_PERCENTAGE","RELATIONSHIP_OVERRIDE=S,QUANTIFIED_OVERRIDE=Y,EQY_FUND_CRNCY=USD,RELATED_COMPANY_OVERRIDE=" &amp;A14))</f>
        <v>0.11092600226402283</v>
      </c>
      <c r="E14" s="6">
        <f>IF(ISBLANK(A14),"",_xll.BDP("AAPL US Equity", "SUPPLY_CHAIN_REVENUE_PERCENTAGE","RELATIONSHIP_OVERRIDE=S,QUANTIFIED_OVERRIDE=Y,EQY_FUND_CRNCY=USD,RELATED_COMPANY_OVERRIDE=" &amp;A14))</f>
        <v>52</v>
      </c>
      <c r="F14" s="5">
        <f>IF(ISBLANK(A14),"",_xll.BDP("AAPL US Equity", "RELATIONSHIP_AMOUNT","RELATIONSHIP_OVERRIDE=S,QUANTIFIED_OVERRIDE=Y,EQY_FUND_CRNCY=USD,RELATED_COMPANY_OVERRIDE=" &amp;A14))</f>
        <v>63.632528000000001</v>
      </c>
      <c r="G14" t="str">
        <f>IF(ISBLANK(A14),"",_xll.BDP("AAPL US Equity", "RELATIONSHIP_YEAR","RELATIONSHIP_OVERRIDE=S,QUANTIFIED_OVERRIDE=Y,EQY_FUND_CRNCY=USD,RELATED_COMPANY_OVERRIDE=" &amp;A14))</f>
        <v>2025</v>
      </c>
      <c r="H14" t="str">
        <f>IF(ISBLANK(A14),"",_xll.BDP("AAPL US Equity", "RELATIONSHIP_PERIOD","RELATIONSHIP_OVERRIDE=S,QUANTIFIED_OVERRIDE=Y,EQY_FUND_CRNCY=USD,RELATED_COMPANY_OVERRIDE=" &amp;A14))</f>
        <v>A</v>
      </c>
      <c r="I14" t="str">
        <f>IF(ISBLANK(A14),"",_xll.BDP("AAPL US Equity", "SOURCE_OF_RELATIONSHIP","RELATIONSHIP_OVERRIDE=S,QUANTIFIED_OVERRIDE=Y,EQY_FUND_CRNCY=USD,RELATED_COMPANY_OVERRIDE=" &amp;A14))</f>
        <v>2025A CF (360 AU)</v>
      </c>
      <c r="J14" t="str">
        <f>IF(ISBLANK(A14),"",_xll.BDP("AAPL US Equity", "RELATIONSHIP_AS_OF_DATE","RELATIONSHIP_OVERRIDE=S,QUANTIFIED_OVERRIDE=Y,EQY_FUND_CRNCY=USD,RELATED_COMPANY_OVERRIDE=" &amp;A14))</f>
        <v>03-03-2026</v>
      </c>
    </row>
    <row r="15" spans="1:10" x14ac:dyDescent="0.25">
      <c r="A15" t="s">
        <v>23</v>
      </c>
      <c r="B15" t="str">
        <f>IF(ISBLANK(A15),"",_xll.BDP(A15, "LONG_COMP_NAME",""))</f>
        <v>Suzhou Dongshan Precision Manufacturing Co Ltd</v>
      </c>
      <c r="C15" t="str">
        <f>IF(ISBLANK(A15),"",_xll.BDP("AAPL US Equity", "SUPPLY_CHAIN_COST_ACCOUNT_TYPE","RELATIONSHIP_OVERRIDE=S,QUANTIFIED_OVERRIDE=Y,EQY_FUND_CRNCY=USD,RELATED_COMPANY_OVERRIDE=" &amp;A15))</f>
        <v>COGS</v>
      </c>
      <c r="D15" s="6">
        <f>IF(ISBLANK(A15),"",_xll.BDP("AAPL US Equity", "SUPPLY_CHAIN_COST_PERCENTAGE","RELATIONSHIP_OVERRIDE=S,QUANTIFIED_OVERRIDE=Y,EQY_FUND_CRNCY=USD,RELATED_COMPANY_OVERRIDE=" &amp;A15))</f>
        <v>1.3504680395126343</v>
      </c>
      <c r="E15" s="6">
        <f>IF(ISBLANK(A15),"",_xll.BDP("AAPL US Equity", "SUPPLY_CHAIN_REVENUE_PERCENTAGE","RELATIONSHIP_OVERRIDE=S,QUANTIFIED_OVERRIDE=Y,EQY_FUND_CRNCY=USD,RELATED_COMPANY_OVERRIDE=" &amp;A15))</f>
        <v>51.727825164794922</v>
      </c>
      <c r="F15" s="5">
        <f>IF(ISBLANK(A15),"",_xll.BDP("AAPL US Equity", "RELATIONSHIP_AMOUNT","RELATIONSHIP_OVERRIDE=S,QUANTIFIED_OVERRIDE=Y,EQY_FUND_CRNCY=USD,RELATED_COMPANY_OVERRIDE=" &amp;A15))</f>
        <v>731.06055512150999</v>
      </c>
      <c r="G15" t="str">
        <f>IF(ISBLANK(A15),"",_xll.BDP("AAPL US Equity", "RELATIONSHIP_YEAR","RELATIONSHIP_OVERRIDE=S,QUANTIFIED_OVERRIDE=Y,EQY_FUND_CRNCY=USD,RELATED_COMPANY_OVERRIDE=" &amp;A15))</f>
        <v>2025</v>
      </c>
      <c r="H15" t="str">
        <f>IF(ISBLANK(A15),"",_xll.BDP("AAPL US Equity", "RELATIONSHIP_PERIOD","RELATIONSHIP_OVERRIDE=S,QUANTIFIED_OVERRIDE=Y,EQY_FUND_CRNCY=USD,RELATED_COMPANY_OVERRIDE=" &amp;A15))</f>
        <v>Q3</v>
      </c>
      <c r="I15" t="str">
        <f>IF(ISBLANK(A15),"",_xll.BDP("AAPL US Equity", "SOURCE_OF_RELATIONSHIP","RELATIONSHIP_OVERRIDE=S,QUANTIFIED_OVERRIDE=Y,EQY_FUND_CRNCY=USD,RELATED_COMPANY_OVERRIDE=" &amp;A15))</f>
        <v>Estimate (002384 CH)</v>
      </c>
      <c r="J15" t="str">
        <f>IF(ISBLANK(A15),"",_xll.BDP("AAPL US Equity", "RELATIONSHIP_AS_OF_DATE","RELATIONSHIP_OVERRIDE=S,QUANTIFIED_OVERRIDE=Y,EQY_FUND_CRNCY=USD,RELATED_COMPANY_OVERRIDE=" &amp;A15))</f>
        <v>20-11-2025</v>
      </c>
    </row>
    <row r="16" spans="1:10" x14ac:dyDescent="0.25">
      <c r="A16" t="s">
        <v>24</v>
      </c>
      <c r="B16" t="str">
        <f>IF(ISBLANK(A16),"",_xll.BDP(A16, "LONG_COMP_NAME",""))</f>
        <v>LG Display Co Ltd</v>
      </c>
      <c r="C16" t="str">
        <f>IF(ISBLANK(A16),"",_xll.BDP("AAPL US Equity", "SUPPLY_CHAIN_COST_ACCOUNT_TYPE","RELATIONSHIP_OVERRIDE=S,QUANTIFIED_OVERRIDE=Y,EQY_FUND_CRNCY=USD,RELATED_COMPANY_OVERRIDE=" &amp;A16))</f>
        <v>COGS</v>
      </c>
      <c r="D16" s="6">
        <f>IF(ISBLANK(A16),"",_xll.BDP("AAPL US Equity", "SUPPLY_CHAIN_COST_PERCENTAGE","RELATIONSHIP_OVERRIDE=S,QUANTIFIED_OVERRIDE=Y,EQY_FUND_CRNCY=USD,RELATED_COMPANY_OVERRIDE=" &amp;A16))</f>
        <v>3.4837450981140137</v>
      </c>
      <c r="E16" s="6">
        <f>IF(ISBLANK(A16),"",_xll.BDP("AAPL US Equity", "SUPPLY_CHAIN_REVENUE_PERCENTAGE","RELATIONSHIP_OVERRIDE=S,QUANTIFIED_OVERRIDE=Y,EQY_FUND_CRNCY=USD,RELATED_COMPANY_OVERRIDE=" &amp;A16))</f>
        <v>50.901653289794922</v>
      </c>
      <c r="F16" s="5">
        <f>IF(ISBLANK(A16),"",_xll.BDP("AAPL US Equity", "RELATIONSHIP_AMOUNT","RELATIONSHIP_OVERRIDE=S,QUANTIFIED_OVERRIDE=Y,EQY_FUND_CRNCY=USD,RELATED_COMPANY_OVERRIDE=" &amp;A16))</f>
        <v>1902.943140074166</v>
      </c>
      <c r="G16" t="str">
        <f>IF(ISBLANK(A16),"",_xll.BDP("AAPL US Equity", "RELATIONSHIP_YEAR","RELATIONSHIP_OVERRIDE=S,QUANTIFIED_OVERRIDE=Y,EQY_FUND_CRNCY=USD,RELATED_COMPANY_OVERRIDE=" &amp;A16))</f>
        <v>2026</v>
      </c>
      <c r="H16" t="str">
        <f>IF(ISBLANK(A16),"",_xll.BDP("AAPL US Equity", "RELATIONSHIP_PERIOD","RELATIONSHIP_OVERRIDE=S,QUANTIFIED_OVERRIDE=Y,EQY_FUND_CRNCY=USD,RELATED_COMPANY_OVERRIDE=" &amp;A16))</f>
        <v>Q2</v>
      </c>
      <c r="I16" t="str">
        <f>IF(ISBLANK(A16),"",_xll.BDP("AAPL US Equity", "SOURCE_OF_RELATIONSHIP","RELATIONSHIP_OVERRIDE=S,QUANTIFIED_OVERRIDE=Y,EQY_FUND_CRNCY=USD,RELATED_COMPANY_OVERRIDE=" &amp;A16))</f>
        <v>Estimate (034220 KS)</v>
      </c>
      <c r="J16" t="str">
        <f>IF(ISBLANK(A16),"",_xll.BDP("AAPL US Equity", "RELATIONSHIP_AS_OF_DATE","RELATIONSHIP_OVERRIDE=S,QUANTIFIED_OVERRIDE=Y,EQY_FUND_CRNCY=USD,RELATED_COMPANY_OVERRIDE=" &amp;A16))</f>
        <v>15-09-2026</v>
      </c>
    </row>
    <row r="17" spans="1:10" x14ac:dyDescent="0.25">
      <c r="A17" t="s">
        <v>25</v>
      </c>
      <c r="B17" t="str">
        <f>IF(ISBLANK(A17),"",_xll.BDP(A17, "LONG_COMP_NAME",""))</f>
        <v>CommSeed Corp</v>
      </c>
      <c r="C17" t="str">
        <f>IF(ISBLANK(A17),"",_xll.BDP("AAPL US Equity", "SUPPLY_CHAIN_COST_ACCOUNT_TYPE","RELATIONSHIP_OVERRIDE=S,QUANTIFIED_OVERRIDE=Y,EQY_FUND_CRNCY=USD,RELATED_COMPANY_OVERRIDE=" &amp;A17))</f>
        <v>COGS</v>
      </c>
      <c r="D17" s="6">
        <f>IF(ISBLANK(A17),"",_xll.BDP("AAPL US Equity", "SUPPLY_CHAIN_COST_PERCENTAGE","RELATIONSHIP_OVERRIDE=S,QUANTIFIED_OVERRIDE=Y,EQY_FUND_CRNCY=USD,RELATED_COMPANY_OVERRIDE=" &amp;A17))</f>
        <v>3.519000019878149E-3</v>
      </c>
      <c r="E17" s="6">
        <f>IF(ISBLANK(A17),"",_xll.BDP("AAPL US Equity", "SUPPLY_CHAIN_REVENUE_PERCENTAGE","RELATIONSHIP_OVERRIDE=S,QUANTIFIED_OVERRIDE=Y,EQY_FUND_CRNCY=USD,RELATED_COMPANY_OVERRIDE=" &amp;A17))</f>
        <v>50.419940948486328</v>
      </c>
      <c r="F17" s="5">
        <f>IF(ISBLANK(A17),"",_xll.BDP("AAPL US Equity", "RELATIONSHIP_AMOUNT","RELATIONSHIP_OVERRIDE=S,QUANTIFIED_OVERRIDE=Y,EQY_FUND_CRNCY=USD,RELATED_COMPANY_OVERRIDE=" &amp;A17))</f>
        <v>2.0723671088892939</v>
      </c>
      <c r="G17" t="str">
        <f>IF(ISBLANK(A17),"",_xll.BDP("AAPL US Equity", "RELATIONSHIP_YEAR","RELATIONSHIP_OVERRIDE=S,QUANTIFIED_OVERRIDE=Y,EQY_FUND_CRNCY=USD,RELATED_COMPANY_OVERRIDE=" &amp;A17))</f>
        <v>2026</v>
      </c>
      <c r="H17" t="str">
        <f>IF(ISBLANK(A17),"",_xll.BDP("AAPL US Equity", "RELATIONSHIP_PERIOD","RELATIONSHIP_OVERRIDE=S,QUANTIFIED_OVERRIDE=Y,EQY_FUND_CRNCY=USD,RELATED_COMPANY_OVERRIDE=" &amp;A17))</f>
        <v>A</v>
      </c>
      <c r="I17" t="str">
        <f>IF(ISBLANK(A17),"",_xll.BDP("AAPL US Equity", "SOURCE_OF_RELATIONSHIP","RELATIONSHIP_OVERRIDE=S,QUANTIFIED_OVERRIDE=Y,EQY_FUND_CRNCY=USD,RELATED_COMPANY_OVERRIDE=" &amp;A17))</f>
        <v>2026A CF (3739 JP)</v>
      </c>
      <c r="J17" t="str">
        <f>IF(ISBLANK(A17),"",_xll.BDP("AAPL US Equity", "RELATIONSHIP_AS_OF_DATE","RELATIONSHIP_OVERRIDE=S,QUANTIFIED_OVERRIDE=Y,EQY_FUND_CRNCY=USD,RELATED_COMPANY_OVERRIDE=" &amp;A17))</f>
        <v>22-06-2026</v>
      </c>
    </row>
    <row r="18" spans="1:10" x14ac:dyDescent="0.25">
      <c r="A18" t="s">
        <v>26</v>
      </c>
      <c r="B18" t="str">
        <f>IF(ISBLANK(A18),"",_xll.BDP(A18, "LONG_COMP_NAME",""))</f>
        <v>Bank of Innovation Inc</v>
      </c>
      <c r="C18" t="str">
        <f>IF(ISBLANK(A18),"",_xll.BDP("AAPL US Equity", "SUPPLY_CHAIN_COST_ACCOUNT_TYPE","RELATIONSHIP_OVERRIDE=S,QUANTIFIED_OVERRIDE=Y,EQY_FUND_CRNCY=USD,RELATED_COMPANY_OVERRIDE=" &amp;A18))</f>
        <v>COGS</v>
      </c>
      <c r="D18" s="6">
        <f>IF(ISBLANK(A18),"",_xll.BDP("AAPL US Equity", "SUPPLY_CHAIN_COST_PERCENTAGE","RELATIONSHIP_OVERRIDE=S,QUANTIFIED_OVERRIDE=Y,EQY_FUND_CRNCY=USD,RELATED_COMPANY_OVERRIDE=" &amp;A18))</f>
        <v>1.8758000805974007E-2</v>
      </c>
      <c r="E18" s="6">
        <f>IF(ISBLANK(A18),"",_xll.BDP("AAPL US Equity", "SUPPLY_CHAIN_REVENUE_PERCENTAGE","RELATIONSHIP_OVERRIDE=S,QUANTIFIED_OVERRIDE=Y,EQY_FUND_CRNCY=USD,RELATED_COMPANY_OVERRIDE=" &amp;A18))</f>
        <v>50.008087158203125</v>
      </c>
      <c r="F18" s="5">
        <f>IF(ISBLANK(A18),"",_xll.BDP("AAPL US Equity", "RELATIONSHIP_AMOUNT","RELATIONSHIP_OVERRIDE=S,QUANTIFIED_OVERRIDE=Y,EQY_FUND_CRNCY=USD,RELATED_COMPANY_OVERRIDE=" &amp;A18))</f>
        <v>10.370889217068834</v>
      </c>
      <c r="G18" t="str">
        <f>IF(ISBLANK(A18),"",_xll.BDP("AAPL US Equity", "RELATIONSHIP_YEAR","RELATIONSHIP_OVERRIDE=S,QUANTIFIED_OVERRIDE=Y,EQY_FUND_CRNCY=USD,RELATED_COMPANY_OVERRIDE=" &amp;A18))</f>
        <v>2025</v>
      </c>
      <c r="H18" t="str">
        <f>IF(ISBLANK(A18),"",_xll.BDP("AAPL US Equity", "RELATIONSHIP_PERIOD","RELATIONSHIP_OVERRIDE=S,QUANTIFIED_OVERRIDE=Y,EQY_FUND_CRNCY=USD,RELATED_COMPANY_OVERRIDE=" &amp;A18))</f>
        <v>A</v>
      </c>
      <c r="I18" t="str">
        <f>IF(ISBLANK(A18),"",_xll.BDP("AAPL US Equity", "SOURCE_OF_RELATIONSHIP","RELATIONSHIP_OVERRIDE=S,QUANTIFIED_OVERRIDE=Y,EQY_FUND_CRNCY=USD,RELATED_COMPANY_OVERRIDE=" &amp;A18))</f>
        <v>2025A CF (4393 JP)</v>
      </c>
      <c r="J18" t="str">
        <f>IF(ISBLANK(A18),"",_xll.BDP("AAPL US Equity", "RELATIONSHIP_AS_OF_DATE","RELATIONSHIP_OVERRIDE=S,QUANTIFIED_OVERRIDE=Y,EQY_FUND_CRNCY=USD,RELATED_COMPANY_OVERRIDE=" &amp;A18))</f>
        <v>25-12-2025</v>
      </c>
    </row>
    <row r="19" spans="1:10" x14ac:dyDescent="0.25">
      <c r="A19" t="s">
        <v>27</v>
      </c>
      <c r="B19" t="str">
        <f>IF(ISBLANK(A19),"",_xll.BDP(A19, "LONG_COMP_NAME",""))</f>
        <v>Qorvo Inc</v>
      </c>
      <c r="C19" t="str">
        <f>IF(ISBLANK(A19),"",_xll.BDP("AAPL US Equity", "SUPPLY_CHAIN_COST_ACCOUNT_TYPE","RELATIONSHIP_OVERRIDE=S,QUANTIFIED_OVERRIDE=Y,EQY_FUND_CRNCY=USD,RELATED_COMPANY_OVERRIDE=" &amp;A19))</f>
        <v>COGS</v>
      </c>
      <c r="D19" s="6">
        <f>IF(ISBLANK(A19),"",_xll.BDP("AAPL US Equity", "SUPPLY_CHAIN_COST_PERCENTAGE","RELATIONSHIP_OVERRIDE=S,QUANTIFIED_OVERRIDE=Y,EQY_FUND_CRNCY=USD,RELATED_COMPANY_OVERRIDE=" &amp;A19))</f>
        <v>0.78143000602722168</v>
      </c>
      <c r="E19" s="6">
        <f>IF(ISBLANK(A19),"",_xll.BDP("AAPL US Equity", "SUPPLY_CHAIN_REVENUE_PERCENTAGE","RELATIONSHIP_OVERRIDE=S,QUANTIFIED_OVERRIDE=Y,EQY_FUND_CRNCY=USD,RELATED_COMPANY_OVERRIDE=" &amp;A19))</f>
        <v>50</v>
      </c>
      <c r="F19" s="5">
        <f>IF(ISBLANK(A19),"",_xll.BDP("AAPL US Equity", "RELATIONSHIP_AMOUNT","RELATIONSHIP_OVERRIDE=S,QUANTIFIED_OVERRIDE=Y,EQY_FUND_CRNCY=USD,RELATED_COMPANY_OVERRIDE=" &amp;A19))</f>
        <v>459.81462399999998</v>
      </c>
      <c r="G19" t="str">
        <f>IF(ISBLANK(A19),"",_xll.BDP("AAPL US Equity", "RELATIONSHIP_YEAR","RELATIONSHIP_OVERRIDE=S,QUANTIFIED_OVERRIDE=Y,EQY_FUND_CRNCY=USD,RELATED_COMPANY_OVERRIDE=" &amp;A19))</f>
        <v>2026</v>
      </c>
      <c r="H19" t="str">
        <f>IF(ISBLANK(A19),"",_xll.BDP("AAPL US Equity", "RELATIONSHIP_PERIOD","RELATIONSHIP_OVERRIDE=S,QUANTIFIED_OVERRIDE=Y,EQY_FUND_CRNCY=USD,RELATED_COMPANY_OVERRIDE=" &amp;A19))</f>
        <v>A</v>
      </c>
      <c r="I19" t="str">
        <f>IF(ISBLANK(A19),"",_xll.BDP("AAPL US Equity", "SOURCE_OF_RELATIONSHIP","RELATIONSHIP_OVERRIDE=S,QUANTIFIED_OVERRIDE=Y,EQY_FUND_CRNCY=USD,RELATED_COMPANY_OVERRIDE=" &amp;A19))</f>
        <v>2026A CF (QRVO US)</v>
      </c>
      <c r="J19" t="str">
        <f>IF(ISBLANK(A19),"",_xll.BDP("AAPL US Equity", "RELATIONSHIP_AS_OF_DATE","RELATIONSHIP_OVERRIDE=S,QUANTIFIED_OVERRIDE=Y,EQY_FUND_CRNCY=USD,RELATED_COMPANY_OVERRIDE=" &amp;A19))</f>
        <v>08-05-2026</v>
      </c>
    </row>
    <row r="20" spans="1:10" x14ac:dyDescent="0.25">
      <c r="A20" t="s">
        <v>28</v>
      </c>
      <c r="B20" t="str">
        <f>IF(ISBLANK(A20),"",_xll.BDP(A20, "LONG_COMP_NAME",""))</f>
        <v>Lens Technology Co Ltd</v>
      </c>
      <c r="C20" t="str">
        <f>IF(ISBLANK(A20),"",_xll.BDP("AAPL US Equity", "SUPPLY_CHAIN_COST_ACCOUNT_TYPE","RELATIONSHIP_OVERRIDE=S,QUANTIFIED_OVERRIDE=Y,EQY_FUND_CRNCY=USD,RELATED_COMPANY_OVERRIDE=" &amp;A20))</f>
        <v>COGS</v>
      </c>
      <c r="D20" s="6">
        <f>IF(ISBLANK(A20),"",_xll.BDP("AAPL US Equity", "SUPPLY_CHAIN_COST_PERCENTAGE","RELATIONSHIP_OVERRIDE=S,QUANTIFIED_OVERRIDE=Y,EQY_FUND_CRNCY=USD,RELATED_COMPANY_OVERRIDE=" &amp;A20))</f>
        <v>2.4053380489349365</v>
      </c>
      <c r="E20" s="6">
        <f>IF(ISBLANK(A20),"",_xll.BDP("AAPL US Equity", "SUPPLY_CHAIN_REVENUE_PERCENTAGE","RELATIONSHIP_OVERRIDE=S,QUANTIFIED_OVERRIDE=Y,EQY_FUND_CRNCY=USD,RELATED_COMPANY_OVERRIDE=" &amp;A20))</f>
        <v>45.017513275146484</v>
      </c>
      <c r="F20" s="5">
        <f>IF(ISBLANK(A20),"",_xll.BDP("AAPL US Equity", "RELATIONSHIP_AMOUNT","RELATIONSHIP_OVERRIDE=S,QUANTIFIED_OVERRIDE=Y,EQY_FUND_CRNCY=USD,RELATED_COMPANY_OVERRIDE=" &amp;A20))</f>
        <v>1302.1023959638374</v>
      </c>
      <c r="G20" t="str">
        <f>IF(ISBLANK(A20),"",_xll.BDP("AAPL US Equity", "RELATIONSHIP_YEAR","RELATIONSHIP_OVERRIDE=S,QUANTIFIED_OVERRIDE=Y,EQY_FUND_CRNCY=USD,RELATED_COMPANY_OVERRIDE=" &amp;A20))</f>
        <v>2025</v>
      </c>
      <c r="H20" t="str">
        <f>IF(ISBLANK(A20),"",_xll.BDP("AAPL US Equity", "RELATIONSHIP_PERIOD","RELATIONSHIP_OVERRIDE=S,QUANTIFIED_OVERRIDE=Y,EQY_FUND_CRNCY=USD,RELATED_COMPANY_OVERRIDE=" &amp;A20))</f>
        <v>Q3</v>
      </c>
      <c r="I20" t="str">
        <f>IF(ISBLANK(A20),"",_xll.BDP("AAPL US Equity", "SOURCE_OF_RELATIONSHIP","RELATIONSHIP_OVERRIDE=S,QUANTIFIED_OVERRIDE=Y,EQY_FUND_CRNCY=USD,RELATED_COMPANY_OVERRIDE=" &amp;A20))</f>
        <v>Estimate (300433 CH)</v>
      </c>
      <c r="J20" t="str">
        <f>IF(ISBLANK(A20),"",_xll.BDP("AAPL US Equity", "RELATIONSHIP_AS_OF_DATE","RELATIONSHIP_OVERRIDE=S,QUANTIFIED_OVERRIDE=Y,EQY_FUND_CRNCY=USD,RELATED_COMPANY_OVERRIDE=" &amp;A20))</f>
        <v>02-01-2026</v>
      </c>
    </row>
    <row r="21" spans="1:10" x14ac:dyDescent="0.25">
      <c r="A21" t="s">
        <v>29</v>
      </c>
      <c r="B21" t="str">
        <f>IF(ISBLANK(A21),"",_xll.BDP(A21, "LONG_COMP_NAME",""))</f>
        <v>Shenzhen Desay Battery Technology Co</v>
      </c>
      <c r="C21" t="str">
        <f>IF(ISBLANK(A21),"",_xll.BDP("AAPL US Equity", "SUPPLY_CHAIN_COST_ACCOUNT_TYPE","RELATIONSHIP_OVERRIDE=S,QUANTIFIED_OVERRIDE=Y,EQY_FUND_CRNCY=USD,RELATED_COMPANY_OVERRIDE=" &amp;A21))</f>
        <v>COGS</v>
      </c>
      <c r="D21" s="6">
        <f>IF(ISBLANK(A21),"",_xll.BDP("AAPL US Equity", "SUPPLY_CHAIN_COST_PERCENTAGE","RELATIONSHIP_OVERRIDE=S,QUANTIFIED_OVERRIDE=Y,EQY_FUND_CRNCY=USD,RELATED_COMPANY_OVERRIDE=" &amp;A21))</f>
        <v>0.61408901214599609</v>
      </c>
      <c r="E21" s="6">
        <f>IF(ISBLANK(A21),"",_xll.BDP("AAPL US Equity", "SUPPLY_CHAIN_REVENUE_PERCENTAGE","RELATIONSHIP_OVERRIDE=S,QUANTIFIED_OVERRIDE=Y,EQY_FUND_CRNCY=USD,RELATED_COMPANY_OVERRIDE=" &amp;A21))</f>
        <v>40.016075134277344</v>
      </c>
      <c r="F21" s="5">
        <f>IF(ISBLANK(A21),"",_xll.BDP("AAPL US Equity", "RELATIONSHIP_AMOUNT","RELATIONSHIP_OVERRIDE=S,QUANTIFIED_OVERRIDE=Y,EQY_FUND_CRNCY=USD,RELATED_COMPANY_OVERRIDE=" &amp;A21))</f>
        <v>335.69787957593911</v>
      </c>
      <c r="G21" t="str">
        <f>IF(ISBLANK(A21),"",_xll.BDP("AAPL US Equity", "RELATIONSHIP_YEAR","RELATIONSHIP_OVERRIDE=S,QUANTIFIED_OVERRIDE=Y,EQY_FUND_CRNCY=USD,RELATED_COMPANY_OVERRIDE=" &amp;A21))</f>
        <v>2026</v>
      </c>
      <c r="H21" t="str">
        <f>IF(ISBLANK(A21),"",_xll.BDP("AAPL US Equity", "RELATIONSHIP_PERIOD","RELATIONSHIP_OVERRIDE=S,QUANTIFIED_OVERRIDE=Y,EQY_FUND_CRNCY=USD,RELATED_COMPANY_OVERRIDE=" &amp;A21))</f>
        <v>Q2</v>
      </c>
      <c r="I21" t="str">
        <f>IF(ISBLANK(A21),"",_xll.BDP("AAPL US Equity", "SOURCE_OF_RELATIONSHIP","RELATIONSHIP_OVERRIDE=S,QUANTIFIED_OVERRIDE=Y,EQY_FUND_CRNCY=USD,RELATED_COMPANY_OVERRIDE=" &amp;A21))</f>
        <v>Estimate (000049 CH)</v>
      </c>
      <c r="J21" t="str">
        <f>IF(ISBLANK(A21),"",_xll.BDP("AAPL US Equity", "RELATIONSHIP_AS_OF_DATE","RELATIONSHIP_OVERRIDE=S,QUANTIFIED_OVERRIDE=Y,EQY_FUND_CRNCY=USD,RELATED_COMPANY_OVERRIDE=" &amp;A21))</f>
        <v>10-09-2026</v>
      </c>
    </row>
    <row r="22" spans="1:10" x14ac:dyDescent="0.25">
      <c r="A22" t="s">
        <v>30</v>
      </c>
      <c r="B22" t="str">
        <f>IF(ISBLANK(A22),"",_xll.BDP(A22, "LONG_COMP_NAME",""))</f>
        <v>GungHo Online Entertainment Inc</v>
      </c>
      <c r="C22" t="str">
        <f>IF(ISBLANK(A22),"",_xll.BDP("AAPL US Equity", "SUPPLY_CHAIN_COST_ACCOUNT_TYPE","RELATIONSHIP_OVERRIDE=S,QUANTIFIED_OVERRIDE=Y,EQY_FUND_CRNCY=USD,RELATED_COMPANY_OVERRIDE=" &amp;A22))</f>
        <v>COGS</v>
      </c>
      <c r="D22" s="6">
        <f>IF(ISBLANK(A22),"",_xll.BDP("AAPL US Equity", "SUPPLY_CHAIN_COST_PERCENTAGE","RELATIONSHIP_OVERRIDE=S,QUANTIFIED_OVERRIDE=Y,EQY_FUND_CRNCY=USD,RELATED_COMPANY_OVERRIDE=" &amp;A22))</f>
        <v>0.10188200324773788</v>
      </c>
      <c r="E22" s="6">
        <f>IF(ISBLANK(A22),"",_xll.BDP("AAPL US Equity", "SUPPLY_CHAIN_REVENUE_PERCENTAGE","RELATIONSHIP_OVERRIDE=S,QUANTIFIED_OVERRIDE=Y,EQY_FUND_CRNCY=USD,RELATED_COMPANY_OVERRIDE=" &amp;A22))</f>
        <v>37.513137817382813</v>
      </c>
      <c r="F22" s="5">
        <f>IF(ISBLANK(A22),"",_xll.BDP("AAPL US Equity", "RELATIONSHIP_AMOUNT","RELATIONSHIP_OVERRIDE=S,QUANTIFIED_OVERRIDE=Y,EQY_FUND_CRNCY=USD,RELATED_COMPANY_OVERRIDE=" &amp;A22))</f>
        <v>58.478029840473376</v>
      </c>
      <c r="G22" t="str">
        <f>IF(ISBLANK(A22),"",_xll.BDP("AAPL US Equity", "RELATIONSHIP_YEAR","RELATIONSHIP_OVERRIDE=S,QUANTIFIED_OVERRIDE=Y,EQY_FUND_CRNCY=USD,RELATED_COMPANY_OVERRIDE=" &amp;A22))</f>
        <v>2025</v>
      </c>
      <c r="H22" t="str">
        <f>IF(ISBLANK(A22),"",_xll.BDP("AAPL US Equity", "RELATIONSHIP_PERIOD","RELATIONSHIP_OVERRIDE=S,QUANTIFIED_OVERRIDE=Y,EQY_FUND_CRNCY=USD,RELATED_COMPANY_OVERRIDE=" &amp;A22))</f>
        <v>A</v>
      </c>
      <c r="I22" t="str">
        <f>IF(ISBLANK(A22),"",_xll.BDP("AAPL US Equity", "SOURCE_OF_RELATIONSHIP","RELATIONSHIP_OVERRIDE=S,QUANTIFIED_OVERRIDE=Y,EQY_FUND_CRNCY=USD,RELATED_COMPANY_OVERRIDE=" &amp;A22))</f>
        <v>2025A CF (3765 JP)</v>
      </c>
      <c r="J22" t="str">
        <f>IF(ISBLANK(A22),"",_xll.BDP("AAPL US Equity", "RELATIONSHIP_AS_OF_DATE","RELATIONSHIP_OVERRIDE=S,QUANTIFIED_OVERRIDE=Y,EQY_FUND_CRNCY=USD,RELATED_COMPANY_OVERRIDE=" &amp;A22))</f>
        <v>19-03-2026</v>
      </c>
    </row>
    <row r="23" spans="1:10" x14ac:dyDescent="0.25">
      <c r="A23" t="s">
        <v>31</v>
      </c>
      <c r="B23" t="str">
        <f>IF(ISBLANK(A23),"",_xll.BDP(A23, "LONG_COMP_NAME",""))</f>
        <v>Compeq Manufacturing Co Ltd</v>
      </c>
      <c r="C23" t="str">
        <f>IF(ISBLANK(A23),"",_xll.BDP("AAPL US Equity", "SUPPLY_CHAIN_COST_ACCOUNT_TYPE","RELATIONSHIP_OVERRIDE=S,QUANTIFIED_OVERRIDE=Y,EQY_FUND_CRNCY=USD,RELATED_COMPANY_OVERRIDE=" &amp;A23))</f>
        <v>COGS</v>
      </c>
      <c r="D23" s="6">
        <f>IF(ISBLANK(A23),"",_xll.BDP("AAPL US Equity", "SUPPLY_CHAIN_COST_PERCENTAGE","RELATIONSHIP_OVERRIDE=S,QUANTIFIED_OVERRIDE=Y,EQY_FUND_CRNCY=USD,RELATED_COMPANY_OVERRIDE=" &amp;A23))</f>
        <v>0.45703700184822083</v>
      </c>
      <c r="E23" s="6">
        <f>IF(ISBLANK(A23),"",_xll.BDP("AAPL US Equity", "SUPPLY_CHAIN_REVENUE_PERCENTAGE","RELATIONSHIP_OVERRIDE=S,QUANTIFIED_OVERRIDE=Y,EQY_FUND_CRNCY=USD,RELATED_COMPANY_OVERRIDE=" &amp;A23))</f>
        <v>36.908733367919922</v>
      </c>
      <c r="F23" s="5">
        <f>IF(ISBLANK(A23),"",_xll.BDP("AAPL US Equity", "RELATIONSHIP_AMOUNT","RELATIONSHIP_OVERRIDE=S,QUANTIFIED_OVERRIDE=Y,EQY_FUND_CRNCY=USD,RELATED_COMPANY_OVERRIDE=" &amp;A23))</f>
        <v>247.31744173128021</v>
      </c>
      <c r="G23" t="str">
        <f>IF(ISBLANK(A23),"",_xll.BDP("AAPL US Equity", "RELATIONSHIP_YEAR","RELATIONSHIP_OVERRIDE=S,QUANTIFIED_OVERRIDE=Y,EQY_FUND_CRNCY=USD,RELATED_COMPANY_OVERRIDE=" &amp;A23))</f>
        <v>2025</v>
      </c>
      <c r="H23" t="str">
        <f>IF(ISBLANK(A23),"",_xll.BDP("AAPL US Equity", "RELATIONSHIP_PERIOD","RELATIONSHIP_OVERRIDE=S,QUANTIFIED_OVERRIDE=Y,EQY_FUND_CRNCY=USD,RELATED_COMPANY_OVERRIDE=" &amp;A23))</f>
        <v>Q3</v>
      </c>
      <c r="I23" t="str">
        <f>IF(ISBLANK(A23),"",_xll.BDP("AAPL US Equity", "SOURCE_OF_RELATIONSHIP","RELATIONSHIP_OVERRIDE=S,QUANTIFIED_OVERRIDE=Y,EQY_FUND_CRNCY=USD,RELATED_COMPANY_OVERRIDE=" &amp;A23))</f>
        <v>Estimate (2313 TT)</v>
      </c>
      <c r="J23" t="str">
        <f>IF(ISBLANK(A23),"",_xll.BDP("AAPL US Equity", "RELATIONSHIP_AS_OF_DATE","RELATIONSHIP_OVERRIDE=S,QUANTIFIED_OVERRIDE=Y,EQY_FUND_CRNCY=USD,RELATED_COMPANY_OVERRIDE=" &amp;A23))</f>
        <v>20-01-2026</v>
      </c>
    </row>
    <row r="24" spans="1:10" x14ac:dyDescent="0.25">
      <c r="A24" t="s">
        <v>32</v>
      </c>
      <c r="B24" t="str">
        <f>IF(ISBLANK(A24),"",_xll.BDP(A24, "LONG_COMP_NAME",""))</f>
        <v>Gumi Inc</v>
      </c>
      <c r="C24" t="str">
        <f>IF(ISBLANK(A24),"",_xll.BDP("AAPL US Equity", "SUPPLY_CHAIN_COST_ACCOUNT_TYPE","RELATIONSHIP_OVERRIDE=S,QUANTIFIED_OVERRIDE=Y,EQY_FUND_CRNCY=USD,RELATED_COMPANY_OVERRIDE=" &amp;A24))</f>
        <v>COGS</v>
      </c>
      <c r="D24" s="6">
        <f>IF(ISBLANK(A24),"",_xll.BDP("AAPL US Equity", "SUPPLY_CHAIN_COST_PERCENTAGE","RELATIONSHIP_OVERRIDE=S,QUANTIFIED_OVERRIDE=Y,EQY_FUND_CRNCY=USD,RELATED_COMPANY_OVERRIDE=" &amp;A24))</f>
        <v>8.4330001845955849E-3</v>
      </c>
      <c r="E24" s="6">
        <f>IF(ISBLANK(A24),"",_xll.BDP("AAPL US Equity", "SUPPLY_CHAIN_REVENUE_PERCENTAGE","RELATIONSHIP_OVERRIDE=S,QUANTIFIED_OVERRIDE=Y,EQY_FUND_CRNCY=USD,RELATED_COMPANY_OVERRIDE=" &amp;A24))</f>
        <v>33.970001220703125</v>
      </c>
      <c r="F24" s="5">
        <f>IF(ISBLANK(A24),"",_xll.BDP("AAPL US Equity", "RELATIONSHIP_AMOUNT","RELATIONSHIP_OVERRIDE=S,QUANTIFIED_OVERRIDE=Y,EQY_FUND_CRNCY=USD,RELATED_COMPANY_OVERRIDE=" &amp;A24))</f>
        <v>5.1393930319596848</v>
      </c>
      <c r="G24" t="str">
        <f>IF(ISBLANK(A24),"",_xll.BDP("AAPL US Equity", "RELATIONSHIP_YEAR","RELATIONSHIP_OVERRIDE=S,QUANTIFIED_OVERRIDE=Y,EQY_FUND_CRNCY=USD,RELATED_COMPANY_OVERRIDE=" &amp;A24))</f>
        <v>2026</v>
      </c>
      <c r="H24" t="str">
        <f>IF(ISBLANK(A24),"",_xll.BDP("AAPL US Equity", "RELATIONSHIP_PERIOD","RELATIONSHIP_OVERRIDE=S,QUANTIFIED_OVERRIDE=Y,EQY_FUND_CRNCY=USD,RELATED_COMPANY_OVERRIDE=" &amp;A24))</f>
        <v>A</v>
      </c>
      <c r="I24" t="str">
        <f>IF(ISBLANK(A24),"",_xll.BDP("AAPL US Equity", "SOURCE_OF_RELATIONSHIP","RELATIONSHIP_OVERRIDE=S,QUANTIFIED_OVERRIDE=Y,EQY_FUND_CRNCY=USD,RELATED_COMPANY_OVERRIDE=" &amp;A24))</f>
        <v>2026A CF (3903 JP)</v>
      </c>
      <c r="J24" t="str">
        <f>IF(ISBLANK(A24),"",_xll.BDP("AAPL US Equity", "RELATIONSHIP_AS_OF_DATE","RELATIONSHIP_OVERRIDE=S,QUANTIFIED_OVERRIDE=Y,EQY_FUND_CRNCY=USD,RELATED_COMPANY_OVERRIDE=" &amp;A24))</f>
        <v>29-07-2026</v>
      </c>
    </row>
    <row r="25" spans="1:10" x14ac:dyDescent="0.25">
      <c r="A25" s="1" t="s">
        <v>11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1" t="s">
        <v>12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1" t="s">
        <v>13</v>
      </c>
      <c r="B27" s="2"/>
      <c r="C27" s="2"/>
      <c r="D27" s="2"/>
      <c r="E27" s="2"/>
      <c r="F27" s="2"/>
      <c r="G27" s="2"/>
      <c r="H27" s="2"/>
      <c r="I27" s="2"/>
      <c r="J27" s="2"/>
    </row>
  </sheetData>
  <mergeCells count="4">
    <mergeCell ref="A2:J2"/>
    <mergeCell ref="A25:J25"/>
    <mergeCell ref="A26:J26"/>
    <mergeCell ref="A27:J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2026-09-30T05:34:53Z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